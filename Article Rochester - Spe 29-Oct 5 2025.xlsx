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fdea\Downloads\testfiles\"/>
    </mc:Choice>
  </mc:AlternateContent>
  <xr:revisionPtr revIDLastSave="0" documentId="13_ncr:1_{AFCA27A6-FF97-4579-BD57-56028630ABE5}" xr6:coauthVersionLast="47" xr6:coauthVersionMax="47" xr10:uidLastSave="{00000000-0000-0000-0000-000000000000}"/>
  <bookViews>
    <workbookView xWindow="-108" yWindow="-108" windowWidth="23256" windowHeight="12456" xr2:uid="{9A12649B-651D-45C2-8313-F3E02A3032B4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Sheet1!$A$5:$AI$35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1" l="1"/>
  <c r="AH6" i="1"/>
  <c r="AF37" i="1"/>
  <c r="AC37" i="1"/>
  <c r="N37" i="1"/>
  <c r="AH35" i="1"/>
  <c r="T35" i="1"/>
  <c r="U35" i="1" s="1"/>
  <c r="AH34" i="1"/>
  <c r="T34" i="1"/>
  <c r="U34" i="1" s="1"/>
  <c r="AH33" i="1"/>
  <c r="T33" i="1"/>
  <c r="U33" i="1" s="1"/>
  <c r="AH32" i="1"/>
  <c r="T32" i="1"/>
  <c r="U32" i="1" s="1"/>
  <c r="AH31" i="1"/>
  <c r="T31" i="1"/>
  <c r="U31" i="1" s="1"/>
  <c r="AH30" i="1"/>
  <c r="T30" i="1"/>
  <c r="U30" i="1" s="1"/>
  <c r="AH29" i="1"/>
  <c r="T29" i="1"/>
  <c r="U29" i="1" s="1"/>
  <c r="AH28" i="1"/>
  <c r="T28" i="1"/>
  <c r="U28" i="1" s="1"/>
  <c r="AH27" i="1"/>
  <c r="T27" i="1"/>
  <c r="U27" i="1" s="1"/>
  <c r="AH26" i="1"/>
  <c r="T26" i="1"/>
  <c r="U26" i="1" s="1"/>
  <c r="AH25" i="1"/>
  <c r="T25" i="1"/>
  <c r="U25" i="1" s="1"/>
  <c r="AH24" i="1"/>
  <c r="AH23" i="1"/>
  <c r="T23" i="1"/>
  <c r="U23" i="1" s="1"/>
  <c r="AH22" i="1"/>
  <c r="T22" i="1"/>
  <c r="U22" i="1" s="1"/>
  <c r="AH21" i="1"/>
  <c r="T21" i="1"/>
  <c r="U21" i="1" s="1"/>
  <c r="AH20" i="1"/>
  <c r="AH19" i="1"/>
  <c r="AH18" i="1"/>
  <c r="T18" i="1"/>
  <c r="U18" i="1" s="1"/>
  <c r="AH17" i="1"/>
  <c r="T17" i="1"/>
  <c r="U17" i="1" s="1"/>
  <c r="AH16" i="1"/>
  <c r="T16" i="1"/>
  <c r="U16" i="1" s="1"/>
  <c r="AH15" i="1"/>
  <c r="T15" i="1"/>
  <c r="U15" i="1" s="1"/>
  <c r="AH14" i="1"/>
  <c r="T14" i="1"/>
  <c r="U14" i="1" s="1"/>
  <c r="AH13" i="1"/>
  <c r="T13" i="1"/>
  <c r="U13" i="1"/>
  <c r="AH12" i="1"/>
  <c r="T12" i="1"/>
  <c r="U12" i="1" s="1"/>
  <c r="AH11" i="1"/>
  <c r="T11" i="1"/>
  <c r="AH10" i="1"/>
  <c r="T10" i="1"/>
  <c r="U10" i="1" s="1"/>
  <c r="AH9" i="1"/>
  <c r="T9" i="1"/>
  <c r="AH8" i="1"/>
  <c r="T8" i="1"/>
  <c r="U8" i="1" s="1"/>
  <c r="AH7" i="1"/>
  <c r="T7" i="1"/>
  <c r="U7" i="1" s="1"/>
  <c r="AH37" i="1"/>
  <c r="T6" i="1"/>
  <c r="U6" i="1" l="1"/>
  <c r="S37" i="1"/>
  <c r="U11" i="1"/>
  <c r="P37" i="1"/>
  <c r="T19" i="1"/>
  <c r="T20" i="1"/>
  <c r="U20" i="1" s="1"/>
  <c r="T24" i="1"/>
  <c r="U24" i="1" s="1"/>
  <c r="T37" i="1" l="1"/>
  <c r="U19" i="1"/>
  <c r="U37" i="1"/>
</calcChain>
</file>

<file path=xl/sharedStrings.xml><?xml version="1.0" encoding="utf-8"?>
<sst xmlns="http://schemas.openxmlformats.org/spreadsheetml/2006/main" count="512" uniqueCount="195">
  <si>
    <r>
      <t xml:space="preserve">ARTICLE US </t>
    </r>
    <r>
      <rPr>
        <b/>
        <sz val="14"/>
        <color rgb="FFFF0000"/>
        <rFont val="Calibri"/>
        <family val="2"/>
      </rPr>
      <t>ROCHESTER</t>
    </r>
    <r>
      <rPr>
        <b/>
        <sz val="14"/>
        <rFont val="Calibri"/>
        <family val="2"/>
      </rPr>
      <t xml:space="preserve"> BILLING</t>
    </r>
  </si>
  <si>
    <t>DUPLICATE ORDERS</t>
  </si>
  <si>
    <t>WEEK OF :   SEPT 29 - OCT 5, 2025</t>
  </si>
  <si>
    <t>VENDOR</t>
  </si>
  <si>
    <t>ORDER #</t>
  </si>
  <si>
    <t>CUSTOMER NAME</t>
  </si>
  <si>
    <t>ADDRESS</t>
  </si>
  <si>
    <t>CITY</t>
  </si>
  <si>
    <t>ZIP CODE</t>
  </si>
  <si>
    <t>STATE</t>
  </si>
  <si>
    <t>DATE</t>
  </si>
  <si>
    <t>QTY PIECE</t>
  </si>
  <si>
    <t>DISTANCE</t>
  </si>
  <si>
    <t>ZONE</t>
  </si>
  <si>
    <t>ACCESSORIAL CHARGES</t>
  </si>
  <si>
    <t>EXTRA TIME</t>
  </si>
  <si>
    <t>EXTRA TIME CHARGE</t>
  </si>
  <si>
    <t>SUB-TOTAL</t>
  </si>
  <si>
    <t>NOTES</t>
  </si>
  <si>
    <t>CONTRACTOR / PAYROLL</t>
  </si>
  <si>
    <t>DRIVER</t>
  </si>
  <si>
    <t>UNIT #</t>
  </si>
  <si>
    <t>ROUTE #</t>
  </si>
  <si>
    <t>HELPER</t>
  </si>
  <si>
    <t>HELPER  PAY</t>
  </si>
  <si>
    <t>ARTICLE  ROC</t>
  </si>
  <si>
    <t>Jessica Salerno</t>
  </si>
  <si>
    <t>109 Tower road, (Uris Rm 214)</t>
  </si>
  <si>
    <t>Ithaca</t>
  </si>
  <si>
    <t>NY</t>
  </si>
  <si>
    <t>White Glove</t>
  </si>
  <si>
    <t>PAYROLL</t>
  </si>
  <si>
    <t>Kanyen Barker</t>
  </si>
  <si>
    <t>ny03</t>
  </si>
  <si>
    <t>Jermaine Goodman</t>
  </si>
  <si>
    <t>Nick Schweitzer</t>
  </si>
  <si>
    <t>411 Klinewoods Rd</t>
  </si>
  <si>
    <t>Threshold</t>
  </si>
  <si>
    <t>Stephanie Negrey</t>
  </si>
  <si>
    <t>14 West Meadow Drive</t>
  </si>
  <si>
    <t>Nicholas Latham</t>
  </si>
  <si>
    <t>185 DWIGHT AVE</t>
  </si>
  <si>
    <t>Corning</t>
  </si>
  <si>
    <t>Gregory Echevarria</t>
  </si>
  <si>
    <t>ny01</t>
  </si>
  <si>
    <t>Braulio Santiago</t>
  </si>
  <si>
    <t>Wendy Miron</t>
  </si>
  <si>
    <t>525 S Albany St, 1</t>
  </si>
  <si>
    <t>Jesus Santos</t>
  </si>
  <si>
    <t>ny02</t>
  </si>
  <si>
    <t>Jose Garcia</t>
  </si>
  <si>
    <t>Eva Legge</t>
  </si>
  <si>
    <t>116 Rutledge St</t>
  </si>
  <si>
    <t>Syracuse</t>
  </si>
  <si>
    <t>Jamar Jones</t>
  </si>
  <si>
    <t>ny04</t>
  </si>
  <si>
    <t>Raeshaun Jones</t>
  </si>
  <si>
    <t>Emily Middlebrook</t>
  </si>
  <si>
    <t>221 Maple Road</t>
  </si>
  <si>
    <t>Adonis Dixon</t>
  </si>
  <si>
    <t>137 E Water St, 3</t>
  </si>
  <si>
    <t>Room of Choice</t>
  </si>
  <si>
    <t>Derek Walter</t>
  </si>
  <si>
    <t>105 5th St</t>
  </si>
  <si>
    <t>Liverpool</t>
  </si>
  <si>
    <t>Steve Neschleba</t>
  </si>
  <si>
    <t>2900 Yale Street</t>
  </si>
  <si>
    <t>Endicott</t>
  </si>
  <si>
    <t>CONTRACTOR</t>
  </si>
  <si>
    <t>Richard Torres</t>
  </si>
  <si>
    <t>ny06</t>
  </si>
  <si>
    <t>Luis Gonzales</t>
  </si>
  <si>
    <t>Sarah Nunes</t>
  </si>
  <si>
    <t>180 Nunda Blvd</t>
  </si>
  <si>
    <t>Rochester</t>
  </si>
  <si>
    <t>3398822-1</t>
  </si>
  <si>
    <t>Carolyn de Lorenzo</t>
  </si>
  <si>
    <t>79 Lasalle Ave, 220</t>
  </si>
  <si>
    <t>Buffalo</t>
  </si>
  <si>
    <t>3404028-1</t>
  </si>
  <si>
    <t>Selenid Frey</t>
  </si>
  <si>
    <t>517 Deer Crossing Road</t>
  </si>
  <si>
    <t>Ellicottville</t>
  </si>
  <si>
    <t>3412055-1</t>
  </si>
  <si>
    <t>3412879-1</t>
  </si>
  <si>
    <t>Christine Williams</t>
  </si>
  <si>
    <t>12 west parkway</t>
  </si>
  <si>
    <t>Victor</t>
  </si>
  <si>
    <t>James Gugger</t>
  </si>
  <si>
    <t>45 Wren Field Lane</t>
  </si>
  <si>
    <t>Pittsford</t>
  </si>
  <si>
    <t>Seth Gower</t>
  </si>
  <si>
    <t>2470 East Ave, Apt 408</t>
  </si>
  <si>
    <t>Sarah Bothner</t>
  </si>
  <si>
    <t>176 Park Lane</t>
  </si>
  <si>
    <t>Debi Mansour</t>
  </si>
  <si>
    <t>56 Bond St</t>
  </si>
  <si>
    <t>Matthew Daccursio</t>
  </si>
  <si>
    <t>96 Lafayette Road</t>
  </si>
  <si>
    <t>Tristan Francis</t>
  </si>
  <si>
    <t>124 Belleclaire Dr.</t>
  </si>
  <si>
    <t>Ashley Conklin</t>
  </si>
  <si>
    <t>295 Washington St</t>
  </si>
  <si>
    <t>Spencerport</t>
  </si>
  <si>
    <t>Sandra Wassinger</t>
  </si>
  <si>
    <t>20 Sias Lane</t>
  </si>
  <si>
    <t>haifeng Chen</t>
  </si>
  <si>
    <t>51 Silver Thorne Dr</t>
  </si>
  <si>
    <t>Patti Goldstein</t>
  </si>
  <si>
    <t>7 Windscape Park</t>
  </si>
  <si>
    <t>Shannon Furtak</t>
  </si>
  <si>
    <t>50 Hilton Blvd</t>
  </si>
  <si>
    <t>Kaitlyn Buehlmann</t>
  </si>
  <si>
    <t>111 Greenspring Court</t>
  </si>
  <si>
    <t>West Seneca</t>
  </si>
  <si>
    <t>Josiah Jones</t>
  </si>
  <si>
    <t>ny07</t>
  </si>
  <si>
    <t>Jahsiah Arnold</t>
  </si>
  <si>
    <t>DRIVER SERVICE LEVEL</t>
  </si>
  <si>
    <t>ARTICLE ALBANY &amp; FLORIDA DELIVERY SERVICE AND RATES</t>
  </si>
  <si>
    <t>Service Level</t>
  </si>
  <si>
    <t>Zones</t>
  </si>
  <si>
    <t>Branch Rates</t>
  </si>
  <si>
    <t>Arnoff's Rates</t>
  </si>
  <si>
    <t>Standard</t>
  </si>
  <si>
    <t>0-25 miles</t>
  </si>
  <si>
    <t>26-50 miles</t>
  </si>
  <si>
    <t>51-75 miles</t>
  </si>
  <si>
    <t>76-100 miles</t>
  </si>
  <si>
    <t>101-150 miles</t>
  </si>
  <si>
    <t>Zone 4 + $1.60/Mile return</t>
  </si>
  <si>
    <t>Zone 4 + $0.75/Mile return</t>
  </si>
  <si>
    <t>Zone 4 + $1.20/Mile return</t>
  </si>
  <si>
    <t>Room of choice</t>
  </si>
  <si>
    <t>White glove</t>
  </si>
  <si>
    <t>ACCESSORIAL RATES</t>
  </si>
  <si>
    <t>Accessorials</t>
  </si>
  <si>
    <t>Over 150 miles</t>
  </si>
  <si>
    <t>More than 4 pcs</t>
  </si>
  <si>
    <t>$13.80/ add. pc</t>
  </si>
  <si>
    <t>$7.00/add. pc</t>
  </si>
  <si>
    <t>$10.00/add. pc</t>
  </si>
  <si>
    <t>Additional Time - after the first 30 mins</t>
  </si>
  <si>
    <t>$28.50/15 mins increment</t>
  </si>
  <si>
    <t>$15/15 min increment</t>
  </si>
  <si>
    <t>Stairs - above the 2nd level (Includes main + two floors up or down)</t>
  </si>
  <si>
    <t>$22.50/level</t>
  </si>
  <si>
    <t>$7.00/level</t>
  </si>
  <si>
    <t>$10.00/level</t>
  </si>
  <si>
    <t>Attempted Delivery</t>
  </si>
  <si>
    <t>Same as delivery</t>
  </si>
  <si>
    <t>Standard delivery charge</t>
  </si>
  <si>
    <t>Returns</t>
  </si>
  <si>
    <t>Exchange</t>
  </si>
  <si>
    <t>Difficult Delivery</t>
  </si>
  <si>
    <t>Quote Only</t>
  </si>
  <si>
    <t>-</t>
  </si>
  <si>
    <t>Storage pending delivery per order - 14 to 30 days</t>
  </si>
  <si>
    <t>$31.00/week</t>
  </si>
  <si>
    <t>Storage pending delivery per order - after 30 days</t>
  </si>
  <si>
    <t xml:space="preserve"> $25.25/week</t>
  </si>
  <si>
    <t xml:space="preserve">Storage pending return or charity pickup per order - after 7 days </t>
  </si>
  <si>
    <t>Disposal to landfill - includes labor, landfill fees &amp; fuel</t>
  </si>
  <si>
    <t>$59.65 includes 2 pcs, $31/extra pc</t>
  </si>
  <si>
    <t>Cancellation by Article or client pre-loading</t>
  </si>
  <si>
    <t>$13.80/order</t>
  </si>
  <si>
    <t>Whse Pick ups (Includes 2 pcs)</t>
  </si>
  <si>
    <t>$24.00/order + $28.50/extra pc</t>
  </si>
  <si>
    <t>Fuel Surcharge</t>
  </si>
  <si>
    <t>As per Matrix</t>
  </si>
  <si>
    <t>Zone Type</t>
  </si>
  <si>
    <t>Driver Rate</t>
  </si>
  <si>
    <t xml:space="preserve">Helper Rate </t>
  </si>
  <si>
    <t>Zone 1</t>
  </si>
  <si>
    <t>0-50 Miles</t>
  </si>
  <si>
    <t>Zone 2</t>
  </si>
  <si>
    <t>51-100 Miles</t>
  </si>
  <si>
    <t>Zone 3</t>
  </si>
  <si>
    <t>101-250 Miles</t>
  </si>
  <si>
    <t>BRANCH SERVICE LEVEL</t>
  </si>
  <si>
    <t>BRANCH DELIVERY CHARGES</t>
  </si>
  <si>
    <t>OVER 100 MILES PAY</t>
  </si>
  <si>
    <t>BRANCH RATE FOR EXTRA PIECES</t>
  </si>
  <si>
    <t>FULE SURCHARGE  14.25%</t>
  </si>
  <si>
    <t>ZONE TYPE</t>
  </si>
  <si>
    <t>DRIVER RATE</t>
  </si>
  <si>
    <t>EXTRA PIECES DRIVER RATE</t>
  </si>
  <si>
    <t xml:space="preserve">HELPER ZONE 3, 4 &amp; 5 </t>
  </si>
  <si>
    <t>HELPER  RATE</t>
  </si>
  <si>
    <t>Driver Rates</t>
  </si>
  <si>
    <t>Zone 4</t>
  </si>
  <si>
    <t>Zone 5</t>
  </si>
  <si>
    <t>Branch Delivery Charge</t>
  </si>
  <si>
    <t xml:space="preserve">ORIGINAL ZIP CODE: </t>
  </si>
  <si>
    <t>Zone Type(FOR DRIVER AND HELPER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</si>
</sst>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[$-F400]h:mm:ss\ AM/PM"/>
    <numFmt numFmtId="166" formatCode="&quot;$&quot;#,##0.00_);[Red]\(&quot;$&quot;#,##0.00\)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b/>
      <sz val="12"/>
      <color rgb="FF7030A0"/>
      <name val="Calibri"/>
      <family val="2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u/>
      <sz val="11"/>
      <name val="Calibri"/>
      <family val="2"/>
    </font>
    <font>
      <b/>
      <u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2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2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0" fillId="2" borderId="0" xfId="0" applyFill="1"/>
    <xf numFmtId="164" fontId="7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1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14" fontId="7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9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164" fontId="5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4" fontId="7" fillId="0" borderId="0" xfId="0" applyNumberFormat="1" applyFont="1" applyAlignment="1">
      <alignment horizontal="center"/>
    </xf>
    <xf numFmtId="164" fontId="13" fillId="2" borderId="0" xfId="0" applyNumberFormat="1" applyFont="1" applyFill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1" fontId="14" fillId="3" borderId="1" xfId="0" applyNumberFormat="1" applyFont="1" applyFill="1" applyBorder="1" applyAlignment="1">
      <alignment horizontal="center" vertical="center" wrapText="1"/>
    </xf>
    <xf numFmtId="14" fontId="14" fillId="3" borderId="1" xfId="0" applyNumberFormat="1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164" fontId="15" fillId="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 wrapText="1"/>
    </xf>
    <xf numFmtId="164" fontId="14" fillId="6" borderId="1" xfId="0" applyNumberFormat="1" applyFont="1" applyFill="1" applyBorder="1" applyAlignment="1">
      <alignment horizontal="center" vertical="center" wrapText="1"/>
    </xf>
    <xf numFmtId="165" fontId="14" fillId="3" borderId="1" xfId="0" applyNumberFormat="1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8" borderId="1" xfId="0" applyFill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164" fontId="1" fillId="9" borderId="2" xfId="0" applyNumberFormat="1" applyFont="1" applyFill="1" applyBorder="1" applyAlignment="1">
      <alignment horizontal="center"/>
    </xf>
    <xf numFmtId="0" fontId="0" fillId="4" borderId="0" xfId="0" applyFill="1"/>
    <xf numFmtId="0" fontId="18" fillId="0" borderId="6" xfId="0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 wrapText="1"/>
    </xf>
    <xf numFmtId="164" fontId="19" fillId="0" borderId="1" xfId="0" applyNumberFormat="1" applyFon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/>
    </xf>
    <xf numFmtId="164" fontId="19" fillId="0" borderId="0" xfId="0" applyNumberFormat="1" applyFont="1" applyAlignment="1">
      <alignment horizontal="center"/>
    </xf>
    <xf numFmtId="0" fontId="18" fillId="0" borderId="6" xfId="0" applyFont="1" applyBorder="1"/>
    <xf numFmtId="0" fontId="18" fillId="0" borderId="6" xfId="0" applyFont="1" applyBorder="1" applyAlignment="1">
      <alignment horizontal="center"/>
    </xf>
    <xf numFmtId="0" fontId="18" fillId="0" borderId="0" xfId="0" applyFont="1"/>
    <xf numFmtId="0" fontId="19" fillId="0" borderId="6" xfId="0" applyFont="1" applyBorder="1"/>
    <xf numFmtId="0" fontId="19" fillId="0" borderId="1" xfId="0" applyFont="1" applyBorder="1"/>
    <xf numFmtId="0" fontId="19" fillId="0" borderId="1" xfId="0" applyFont="1" applyBorder="1" applyAlignment="1">
      <alignment horizontal="center"/>
    </xf>
    <xf numFmtId="166" fontId="19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wrapText="1"/>
    </xf>
    <xf numFmtId="0" fontId="19" fillId="0" borderId="9" xfId="0" applyFont="1" applyBorder="1"/>
    <xf numFmtId="0" fontId="19" fillId="0" borderId="9" xfId="0" applyFont="1" applyBorder="1" applyAlignment="1">
      <alignment wrapText="1"/>
    </xf>
    <xf numFmtId="9" fontId="19" fillId="0" borderId="1" xfId="0" applyNumberFormat="1" applyFont="1" applyBorder="1" applyAlignment="1">
      <alignment horizontal="center"/>
    </xf>
    <xf numFmtId="9" fontId="19" fillId="0" borderId="0" xfId="0" applyNumberFormat="1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164" fontId="18" fillId="0" borderId="1" xfId="0" applyNumberFormat="1" applyFont="1" applyBorder="1" applyAlignment="1">
      <alignment horizontal="center" wrapText="1"/>
    </xf>
    <xf numFmtId="0" fontId="19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/>
    </xf>
    <xf numFmtId="0" fontId="6" fillId="8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/>
    </xf>
    <xf numFmtId="0" fontId="14" fillId="8" borderId="1" xfId="0" applyFont="1" applyFill="1" applyBorder="1" applyAlignment="1">
      <alignment horizontal="center" vertical="center" wrapText="1"/>
    </xf>
    <xf numFmtId="0" fontId="0" fillId="8" borderId="0" xfId="0" applyFill="1"/>
    <xf numFmtId="0" fontId="5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5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B3226-F372-4FC4-A44B-760BDA9C7CC5}">
  <dimension ref="A1:CK752"/>
  <sheetViews>
    <sheetView tabSelected="1" zoomScale="85" zoomScaleNormal="85" workbookViewId="0">
      <pane ySplit="5" topLeftCell="A6" activePane="bottomLeft" state="frozen"/>
      <selection pane="bottomLeft" activeCell="AB15" sqref="AB15"/>
    </sheetView>
  </sheetViews>
  <sheetFormatPr defaultColWidth="20.6640625" defaultRowHeight="14.4" x14ac:dyDescent="0.3"/>
  <cols>
    <col min="1" max="1" width="13" style="53" customWidth="1"/>
    <col min="2" max="2" width="11.6640625" customWidth="1"/>
    <col min="4" max="4" width="20.6640625" style="59"/>
    <col min="5" max="5" width="15.44140625" customWidth="1"/>
    <col min="6" max="6" width="8.33203125" style="93" customWidth="1"/>
    <col min="7" max="7" width="8" customWidth="1"/>
    <col min="8" max="8" width="11.33203125" customWidth="1"/>
    <col min="9" max="9" width="7.6640625" style="96" customWidth="1"/>
    <col min="10" max="11" width="14.33203125" style="93" customWidth="1"/>
    <col min="12" max="12" width="9.44140625" style="55" customWidth="1"/>
    <col min="13" max="13" width="6.44140625" customWidth="1"/>
    <col min="14" max="14" width="10.44140625" style="56" customWidth="1"/>
    <col min="15" max="15" width="7.88671875" customWidth="1"/>
    <col min="16" max="16" width="9.5546875" customWidth="1"/>
    <col min="17" max="17" width="11.33203125" customWidth="1"/>
    <col min="18" max="18" width="7.5546875" customWidth="1"/>
    <col min="19" max="19" width="9.5546875" customWidth="1"/>
    <col min="20" max="20" width="10.5546875" customWidth="1"/>
    <col min="21" max="21" width="12.44140625" customWidth="1"/>
    <col min="22" max="22" width="13.44140625" style="55" customWidth="1"/>
    <col min="23" max="23" width="14.109375" customWidth="1"/>
    <col min="24" max="24" width="17.88671875" customWidth="1"/>
    <col min="25" max="25" width="10" hidden="1" customWidth="1"/>
    <col min="26" max="26" width="10.6640625" hidden="1" customWidth="1"/>
    <col min="27" max="27" width="10.6640625" customWidth="1"/>
    <col min="28" max="28" width="7.109375" customWidth="1"/>
    <col min="29" max="29" width="8.5546875" customWidth="1"/>
    <col min="30" max="30" width="9.5546875" customWidth="1"/>
    <col min="31" max="31" width="17.88671875" customWidth="1"/>
    <col min="32" max="32" width="8.5546875" customWidth="1"/>
    <col min="33" max="33" width="8.33203125" customWidth="1"/>
    <col min="34" max="34" width="12.33203125" customWidth="1"/>
    <col min="35" max="35" width="11.44140625" bestFit="1" customWidth="1"/>
  </cols>
  <sheetData>
    <row r="1" spans="1:89" s="15" customFormat="1" ht="18" x14ac:dyDescent="0.3">
      <c r="A1" s="1" t="s">
        <v>0</v>
      </c>
      <c r="B1" s="2"/>
      <c r="C1" s="3"/>
      <c r="D1" s="4"/>
      <c r="E1" s="5"/>
      <c r="F1" s="90" t="s">
        <v>1</v>
      </c>
      <c r="G1" s="5"/>
      <c r="H1" s="6"/>
      <c r="I1" s="94"/>
      <c r="J1" s="94"/>
      <c r="K1" s="94"/>
      <c r="L1" s="8"/>
      <c r="M1" s="9"/>
      <c r="N1" s="10"/>
      <c r="O1" s="8"/>
      <c r="P1" s="10"/>
      <c r="Q1" s="10"/>
      <c r="R1" s="10"/>
      <c r="S1" s="10"/>
      <c r="T1" s="11"/>
      <c r="U1" s="11"/>
      <c r="V1" s="11"/>
      <c r="W1" s="10"/>
      <c r="X1" s="10"/>
      <c r="Y1" s="10"/>
      <c r="Z1" s="12"/>
      <c r="AA1" s="12"/>
      <c r="AB1" s="12"/>
      <c r="AC1" s="10"/>
      <c r="AD1" s="10"/>
      <c r="AE1" s="13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</row>
    <row r="2" spans="1:89" s="14" customFormat="1" ht="28.8" x14ac:dyDescent="0.3">
      <c r="A2" s="16" t="s">
        <v>2</v>
      </c>
      <c r="B2" s="17"/>
      <c r="C2" s="18"/>
      <c r="F2" s="91"/>
      <c r="H2" s="19"/>
      <c r="I2" s="95"/>
      <c r="J2" s="91"/>
      <c r="K2" s="91"/>
      <c r="M2" s="9"/>
      <c r="N2" s="20"/>
      <c r="O2" s="9"/>
      <c r="P2" s="21"/>
      <c r="Q2" s="22"/>
      <c r="R2" s="23"/>
      <c r="S2" s="24"/>
      <c r="T2" s="25"/>
      <c r="U2" s="26"/>
      <c r="V2" s="26"/>
      <c r="W2" s="27"/>
      <c r="X2" s="27"/>
      <c r="Y2" s="27"/>
      <c r="Z2" s="27"/>
      <c r="AA2" s="27"/>
      <c r="AB2" s="27"/>
      <c r="AC2" s="20"/>
      <c r="AD2" s="28"/>
      <c r="AE2" s="21"/>
      <c r="AF2" s="42" t="s">
        <v>24</v>
      </c>
    </row>
    <row r="3" spans="1:89" s="14" customFormat="1" ht="18" x14ac:dyDescent="0.35">
      <c r="A3" s="1"/>
      <c r="B3" s="17"/>
      <c r="C3" s="18"/>
      <c r="D3" s="29"/>
      <c r="F3" s="91"/>
      <c r="H3" s="19"/>
      <c r="I3" s="95"/>
      <c r="J3" s="95"/>
      <c r="K3" s="95"/>
      <c r="M3" s="9"/>
      <c r="N3" s="20"/>
      <c r="O3" s="9"/>
      <c r="P3" s="21"/>
      <c r="Q3" s="22"/>
      <c r="R3" s="23"/>
      <c r="S3" s="24"/>
      <c r="T3" s="25"/>
      <c r="U3" s="26"/>
      <c r="V3" s="26"/>
      <c r="W3" s="27"/>
      <c r="X3" s="27"/>
      <c r="Y3" s="27"/>
      <c r="Z3" s="27"/>
      <c r="AA3" s="27"/>
      <c r="AB3" s="27"/>
      <c r="AC3" s="20"/>
      <c r="AD3" s="28"/>
      <c r="AE3" s="21"/>
    </row>
    <row r="4" spans="1:89" s="15" customFormat="1" ht="18" x14ac:dyDescent="0.3">
      <c r="A4" s="1"/>
      <c r="B4" s="30"/>
      <c r="C4" s="3"/>
      <c r="D4" s="31"/>
      <c r="F4" s="91"/>
      <c r="H4" s="32"/>
      <c r="I4" s="91"/>
      <c r="J4" s="91"/>
      <c r="K4" s="91"/>
      <c r="L4" s="14"/>
      <c r="M4" s="9"/>
      <c r="N4" s="27"/>
      <c r="O4" s="7"/>
      <c r="P4" s="97"/>
      <c r="Q4" s="97"/>
      <c r="R4" s="33"/>
      <c r="S4" s="27"/>
      <c r="T4" s="11"/>
      <c r="U4" s="11"/>
      <c r="V4" s="11"/>
      <c r="W4" s="27"/>
      <c r="X4" s="27"/>
      <c r="Y4" s="27"/>
      <c r="Z4" s="27"/>
      <c r="AA4" s="27"/>
      <c r="AB4" s="27"/>
      <c r="AC4" s="27"/>
      <c r="AD4" s="27"/>
      <c r="AE4" s="10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</row>
    <row r="5" spans="1:89" s="44" customFormat="1" ht="45.75" customHeight="1" x14ac:dyDescent="0.3">
      <c r="A5" s="34" t="s">
        <v>3</v>
      </c>
      <c r="B5" s="35" t="s">
        <v>4</v>
      </c>
      <c r="C5" s="34" t="s">
        <v>5</v>
      </c>
      <c r="D5" s="34" t="s">
        <v>6</v>
      </c>
      <c r="E5" s="34" t="s">
        <v>7</v>
      </c>
      <c r="F5" s="92" t="s">
        <v>8</v>
      </c>
      <c r="G5" s="34" t="s">
        <v>9</v>
      </c>
      <c r="H5" s="36" t="s">
        <v>10</v>
      </c>
      <c r="I5" s="92" t="s">
        <v>11</v>
      </c>
      <c r="J5" s="92" t="s">
        <v>179</v>
      </c>
      <c r="K5" s="92" t="s">
        <v>118</v>
      </c>
      <c r="L5" s="37" t="s">
        <v>12</v>
      </c>
      <c r="M5" s="34" t="s">
        <v>13</v>
      </c>
      <c r="N5" s="38" t="s">
        <v>180</v>
      </c>
      <c r="O5" s="37" t="s">
        <v>181</v>
      </c>
      <c r="P5" s="39" t="s">
        <v>182</v>
      </c>
      <c r="Q5" s="37" t="s">
        <v>14</v>
      </c>
      <c r="R5" s="38" t="s">
        <v>15</v>
      </c>
      <c r="S5" s="38" t="s">
        <v>16</v>
      </c>
      <c r="T5" s="40" t="s">
        <v>183</v>
      </c>
      <c r="U5" s="37" t="s">
        <v>17</v>
      </c>
      <c r="V5" s="37" t="s">
        <v>18</v>
      </c>
      <c r="W5" s="41" t="s">
        <v>19</v>
      </c>
      <c r="X5" s="38" t="s">
        <v>20</v>
      </c>
      <c r="Y5" s="38" t="s">
        <v>21</v>
      </c>
      <c r="Z5" s="38" t="s">
        <v>22</v>
      </c>
      <c r="AA5" s="37" t="s">
        <v>12</v>
      </c>
      <c r="AB5" s="34" t="s">
        <v>184</v>
      </c>
      <c r="AC5" s="38" t="s">
        <v>185</v>
      </c>
      <c r="AD5" s="38" t="s">
        <v>186</v>
      </c>
      <c r="AE5" s="42" t="s">
        <v>23</v>
      </c>
      <c r="AF5" s="38" t="s">
        <v>187</v>
      </c>
      <c r="AG5" s="42" t="s">
        <v>188</v>
      </c>
      <c r="AH5" s="43" t="s">
        <v>17</v>
      </c>
      <c r="AI5" s="43" t="s">
        <v>18</v>
      </c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</row>
    <row r="6" spans="1:89" x14ac:dyDescent="0.3">
      <c r="A6" s="45" t="s">
        <v>25</v>
      </c>
      <c r="B6" s="46">
        <v>3407131</v>
      </c>
      <c r="C6" s="45" t="s">
        <v>26</v>
      </c>
      <c r="D6" s="45" t="s">
        <v>27</v>
      </c>
      <c r="E6" s="45" t="s">
        <v>28</v>
      </c>
      <c r="F6" s="54">
        <v>14853</v>
      </c>
      <c r="G6" s="45" t="s">
        <v>29</v>
      </c>
      <c r="H6" s="47">
        <v>45929</v>
      </c>
      <c r="I6" s="54">
        <v>2</v>
      </c>
      <c r="J6" s="54" t="s">
        <v>30</v>
      </c>
      <c r="K6" s="54" t="s">
        <v>30</v>
      </c>
      <c r="L6" s="46"/>
      <c r="M6" s="45"/>
      <c r="N6" s="48"/>
      <c r="O6" s="45"/>
      <c r="P6" s="45"/>
      <c r="Q6" s="45"/>
      <c r="R6" s="45"/>
      <c r="S6" s="45"/>
      <c r="T6" s="48">
        <f>(N6+P6+Q6)*14.25%</f>
        <v>0</v>
      </c>
      <c r="U6" s="48">
        <f>N6+P6+Q6+S6+T6</f>
        <v>0</v>
      </c>
      <c r="V6" s="48"/>
      <c r="W6" s="45" t="s">
        <v>31</v>
      </c>
      <c r="X6" s="45" t="s">
        <v>32</v>
      </c>
      <c r="Y6" s="45">
        <v>533237</v>
      </c>
      <c r="Z6" s="45" t="s">
        <v>33</v>
      </c>
      <c r="AA6" s="46"/>
      <c r="AB6" s="45"/>
      <c r="AC6" s="48"/>
      <c r="AD6" s="45"/>
      <c r="AE6" s="45" t="s">
        <v>34</v>
      </c>
      <c r="AF6" s="48"/>
      <c r="AG6" s="45"/>
      <c r="AH6" s="48">
        <f>AC6+AF6</f>
        <v>0</v>
      </c>
      <c r="AI6" s="48"/>
    </row>
    <row r="7" spans="1:89" x14ac:dyDescent="0.3">
      <c r="A7" s="45" t="s">
        <v>25</v>
      </c>
      <c r="B7" s="46">
        <v>3392102</v>
      </c>
      <c r="C7" s="45" t="s">
        <v>35</v>
      </c>
      <c r="D7" s="45" t="s">
        <v>36</v>
      </c>
      <c r="E7" s="45" t="s">
        <v>28</v>
      </c>
      <c r="F7" s="54">
        <v>14850</v>
      </c>
      <c r="G7" s="45" t="s">
        <v>29</v>
      </c>
      <c r="H7" s="47">
        <v>45929</v>
      </c>
      <c r="I7" s="54">
        <v>1</v>
      </c>
      <c r="J7" s="54" t="s">
        <v>37</v>
      </c>
      <c r="K7" s="54" t="s">
        <v>37</v>
      </c>
      <c r="L7" s="46"/>
      <c r="M7" s="45"/>
      <c r="N7" s="48"/>
      <c r="O7" s="45"/>
      <c r="P7" s="45"/>
      <c r="Q7" s="45"/>
      <c r="R7" s="45"/>
      <c r="S7" s="45"/>
      <c r="T7" s="48">
        <f t="shared" ref="T7:T35" si="0">(N7+P7+Q7)*14.25%</f>
        <v>0</v>
      </c>
      <c r="U7" s="48">
        <f t="shared" ref="U7:U35" si="1">N7+P7+Q7+S7+T7</f>
        <v>0</v>
      </c>
      <c r="V7" s="48"/>
      <c r="W7" s="45" t="s">
        <v>31</v>
      </c>
      <c r="X7" s="45" t="s">
        <v>32</v>
      </c>
      <c r="Y7" s="45">
        <v>533237</v>
      </c>
      <c r="Z7" s="45" t="s">
        <v>33</v>
      </c>
      <c r="AA7" s="46"/>
      <c r="AB7" s="45"/>
      <c r="AC7" s="48"/>
      <c r="AD7" s="45"/>
      <c r="AE7" s="45" t="s">
        <v>34</v>
      </c>
      <c r="AF7" s="48"/>
      <c r="AG7" s="45"/>
      <c r="AH7" s="48">
        <f t="shared" ref="AH7:AH35" si="2">AC7+AF7</f>
        <v>0</v>
      </c>
      <c r="AI7" s="48"/>
    </row>
    <row r="8" spans="1:89" x14ac:dyDescent="0.3">
      <c r="A8" s="45" t="s">
        <v>25</v>
      </c>
      <c r="B8" s="46">
        <v>3392746</v>
      </c>
      <c r="C8" s="45" t="s">
        <v>38</v>
      </c>
      <c r="D8" s="45" t="s">
        <v>39</v>
      </c>
      <c r="E8" s="45" t="s">
        <v>28</v>
      </c>
      <c r="F8" s="54">
        <v>14850</v>
      </c>
      <c r="G8" s="45" t="s">
        <v>29</v>
      </c>
      <c r="H8" s="47">
        <v>45929</v>
      </c>
      <c r="I8" s="54">
        <v>1</v>
      </c>
      <c r="J8" s="54" t="s">
        <v>37</v>
      </c>
      <c r="K8" s="54" t="s">
        <v>37</v>
      </c>
      <c r="L8" s="46"/>
      <c r="M8" s="45"/>
      <c r="N8" s="48"/>
      <c r="O8" s="45"/>
      <c r="P8" s="45"/>
      <c r="Q8" s="45"/>
      <c r="R8" s="45"/>
      <c r="S8" s="45"/>
      <c r="T8" s="48">
        <f t="shared" si="0"/>
        <v>0</v>
      </c>
      <c r="U8" s="48">
        <f t="shared" si="1"/>
        <v>0</v>
      </c>
      <c r="V8" s="48"/>
      <c r="W8" s="45" t="s">
        <v>31</v>
      </c>
      <c r="X8" s="45" t="s">
        <v>32</v>
      </c>
      <c r="Y8" s="45">
        <v>533237</v>
      </c>
      <c r="Z8" s="45" t="s">
        <v>33</v>
      </c>
      <c r="AA8" s="46"/>
      <c r="AB8" s="45"/>
      <c r="AC8" s="48"/>
      <c r="AD8" s="45"/>
      <c r="AE8" s="45" t="s">
        <v>34</v>
      </c>
      <c r="AF8" s="48"/>
      <c r="AG8" s="45"/>
      <c r="AH8" s="48">
        <f t="shared" si="2"/>
        <v>0</v>
      </c>
      <c r="AI8" s="48"/>
    </row>
    <row r="9" spans="1:89" x14ac:dyDescent="0.3">
      <c r="A9" s="45" t="s">
        <v>25</v>
      </c>
      <c r="B9" s="46">
        <v>3404854</v>
      </c>
      <c r="C9" s="45" t="s">
        <v>40</v>
      </c>
      <c r="D9" s="45" t="s">
        <v>41</v>
      </c>
      <c r="E9" s="45" t="s">
        <v>42</v>
      </c>
      <c r="F9" s="54">
        <v>14830</v>
      </c>
      <c r="G9" s="45" t="s">
        <v>29</v>
      </c>
      <c r="H9" s="47">
        <v>45929</v>
      </c>
      <c r="I9" s="54">
        <v>1</v>
      </c>
      <c r="J9" s="54" t="s">
        <v>37</v>
      </c>
      <c r="K9" s="54" t="s">
        <v>37</v>
      </c>
      <c r="L9" s="46"/>
      <c r="M9" s="45"/>
      <c r="N9" s="48"/>
      <c r="O9" s="45"/>
      <c r="P9" s="45"/>
      <c r="Q9" s="45"/>
      <c r="R9" s="45"/>
      <c r="S9" s="45"/>
      <c r="T9" s="48">
        <f t="shared" si="0"/>
        <v>0</v>
      </c>
      <c r="U9" s="48">
        <f>N9+P9+Q9+S9+T9</f>
        <v>0</v>
      </c>
      <c r="V9" s="48"/>
      <c r="W9" s="45" t="s">
        <v>31</v>
      </c>
      <c r="X9" s="45" t="s">
        <v>43</v>
      </c>
      <c r="Y9" s="45">
        <v>455457</v>
      </c>
      <c r="Z9" s="45" t="s">
        <v>44</v>
      </c>
      <c r="AA9" s="46"/>
      <c r="AB9" s="45"/>
      <c r="AC9" s="48"/>
      <c r="AD9" s="45"/>
      <c r="AE9" s="45" t="s">
        <v>45</v>
      </c>
      <c r="AF9" s="48"/>
      <c r="AG9" s="45"/>
      <c r="AH9" s="48">
        <f t="shared" si="2"/>
        <v>0</v>
      </c>
      <c r="AI9" s="48"/>
    </row>
    <row r="10" spans="1:89" x14ac:dyDescent="0.3">
      <c r="A10" s="45" t="s">
        <v>25</v>
      </c>
      <c r="B10" s="46">
        <v>3405743</v>
      </c>
      <c r="C10" s="45" t="s">
        <v>46</v>
      </c>
      <c r="D10" s="45" t="s">
        <v>47</v>
      </c>
      <c r="E10" s="45" t="s">
        <v>28</v>
      </c>
      <c r="F10" s="54">
        <v>14850</v>
      </c>
      <c r="G10" s="45" t="s">
        <v>29</v>
      </c>
      <c r="H10" s="47">
        <v>45929</v>
      </c>
      <c r="I10" s="54">
        <v>1</v>
      </c>
      <c r="J10" s="54" t="s">
        <v>30</v>
      </c>
      <c r="K10" s="54" t="s">
        <v>30</v>
      </c>
      <c r="L10" s="46"/>
      <c r="M10" s="45"/>
      <c r="N10" s="48"/>
      <c r="O10" s="45"/>
      <c r="P10" s="45"/>
      <c r="Q10" s="45"/>
      <c r="R10" s="45"/>
      <c r="S10" s="45"/>
      <c r="T10" s="48">
        <f t="shared" si="0"/>
        <v>0</v>
      </c>
      <c r="U10" s="48">
        <f t="shared" si="1"/>
        <v>0</v>
      </c>
      <c r="V10" s="48"/>
      <c r="W10" s="45" t="s">
        <v>31</v>
      </c>
      <c r="X10" s="45" t="s">
        <v>48</v>
      </c>
      <c r="Y10" s="45">
        <v>455456</v>
      </c>
      <c r="Z10" s="45" t="s">
        <v>49</v>
      </c>
      <c r="AA10" s="46"/>
      <c r="AB10" s="45"/>
      <c r="AC10" s="48"/>
      <c r="AD10" s="45"/>
      <c r="AE10" s="45" t="s">
        <v>50</v>
      </c>
      <c r="AF10" s="48"/>
      <c r="AG10" s="45"/>
      <c r="AH10" s="48">
        <f t="shared" si="2"/>
        <v>0</v>
      </c>
      <c r="AI10" s="48"/>
    </row>
    <row r="11" spans="1:89" x14ac:dyDescent="0.3">
      <c r="A11" s="45" t="s">
        <v>25</v>
      </c>
      <c r="B11" s="46">
        <v>3405744</v>
      </c>
      <c r="C11" s="45" t="s">
        <v>46</v>
      </c>
      <c r="D11" s="45" t="s">
        <v>47</v>
      </c>
      <c r="E11" s="45" t="s">
        <v>28</v>
      </c>
      <c r="F11" s="54">
        <v>14850</v>
      </c>
      <c r="G11" s="45" t="s">
        <v>29</v>
      </c>
      <c r="H11" s="47">
        <v>45929</v>
      </c>
      <c r="I11" s="54">
        <v>1</v>
      </c>
      <c r="J11" s="54" t="s">
        <v>30</v>
      </c>
      <c r="K11" s="54" t="s">
        <v>30</v>
      </c>
      <c r="L11" s="46"/>
      <c r="M11" s="45"/>
      <c r="N11" s="48"/>
      <c r="O11" s="45"/>
      <c r="P11" s="45"/>
      <c r="Q11" s="45"/>
      <c r="R11" s="45"/>
      <c r="S11" s="48"/>
      <c r="T11" s="48">
        <f t="shared" si="0"/>
        <v>0</v>
      </c>
      <c r="U11" s="48">
        <f t="shared" si="1"/>
        <v>0</v>
      </c>
      <c r="V11" s="48"/>
      <c r="W11" s="45" t="s">
        <v>31</v>
      </c>
      <c r="X11" s="45" t="s">
        <v>48</v>
      </c>
      <c r="Y11" s="45">
        <v>455456</v>
      </c>
      <c r="Z11" s="45" t="s">
        <v>49</v>
      </c>
      <c r="AA11" s="46"/>
      <c r="AB11" s="45"/>
      <c r="AC11" s="48"/>
      <c r="AD11" s="45"/>
      <c r="AE11" s="45" t="s">
        <v>50</v>
      </c>
      <c r="AF11" s="48"/>
      <c r="AG11" s="45"/>
      <c r="AH11" s="48">
        <f t="shared" si="2"/>
        <v>0</v>
      </c>
      <c r="AI11" s="48"/>
    </row>
    <row r="12" spans="1:89" s="11" customFormat="1" x14ac:dyDescent="0.3">
      <c r="A12" s="49" t="s">
        <v>25</v>
      </c>
      <c r="B12" s="50">
        <v>3412879</v>
      </c>
      <c r="C12" s="49" t="s">
        <v>51</v>
      </c>
      <c r="D12" s="49" t="s">
        <v>52</v>
      </c>
      <c r="E12" s="49" t="s">
        <v>53</v>
      </c>
      <c r="F12" s="54">
        <v>13219</v>
      </c>
      <c r="G12" s="49" t="s">
        <v>29</v>
      </c>
      <c r="H12" s="51">
        <v>45929</v>
      </c>
      <c r="I12" s="54">
        <v>2</v>
      </c>
      <c r="J12" s="54" t="s">
        <v>37</v>
      </c>
      <c r="K12" s="54" t="s">
        <v>37</v>
      </c>
      <c r="L12" s="50"/>
      <c r="M12" s="45"/>
      <c r="N12" s="48"/>
      <c r="O12" s="49"/>
      <c r="P12" s="49"/>
      <c r="Q12" s="49"/>
      <c r="R12" s="49"/>
      <c r="S12" s="49"/>
      <c r="T12" s="48">
        <f t="shared" si="0"/>
        <v>0</v>
      </c>
      <c r="U12" s="48">
        <f t="shared" si="1"/>
        <v>0</v>
      </c>
      <c r="V12" s="52"/>
      <c r="W12" s="49" t="s">
        <v>31</v>
      </c>
      <c r="X12" s="49" t="s">
        <v>54</v>
      </c>
      <c r="Y12" s="49">
        <v>455455</v>
      </c>
      <c r="Z12" s="49" t="s">
        <v>55</v>
      </c>
      <c r="AA12" s="50"/>
      <c r="AB12" s="45"/>
      <c r="AC12" s="48"/>
      <c r="AD12" s="49"/>
      <c r="AE12" s="49" t="s">
        <v>56</v>
      </c>
      <c r="AF12" s="48"/>
      <c r="AG12" s="49"/>
      <c r="AH12" s="48">
        <f t="shared" si="2"/>
        <v>0</v>
      </c>
      <c r="AI12" s="52"/>
    </row>
    <row r="13" spans="1:89" x14ac:dyDescent="0.3">
      <c r="A13" s="45" t="s">
        <v>25</v>
      </c>
      <c r="B13" s="46">
        <v>3404382</v>
      </c>
      <c r="C13" s="45" t="s">
        <v>57</v>
      </c>
      <c r="D13" s="45" t="s">
        <v>58</v>
      </c>
      <c r="E13" s="45" t="s">
        <v>53</v>
      </c>
      <c r="F13" s="54">
        <v>13219</v>
      </c>
      <c r="G13" s="45" t="s">
        <v>29</v>
      </c>
      <c r="H13" s="47">
        <v>45929</v>
      </c>
      <c r="I13" s="54">
        <v>4</v>
      </c>
      <c r="J13" s="54" t="s">
        <v>30</v>
      </c>
      <c r="K13" s="54" t="s">
        <v>30</v>
      </c>
      <c r="L13" s="46"/>
      <c r="M13" s="45"/>
      <c r="N13" s="48"/>
      <c r="O13" s="45"/>
      <c r="P13" s="45"/>
      <c r="Q13" s="45"/>
      <c r="R13" s="45"/>
      <c r="S13" s="48"/>
      <c r="T13" s="48">
        <f t="shared" si="0"/>
        <v>0</v>
      </c>
      <c r="U13" s="48">
        <f t="shared" si="1"/>
        <v>0</v>
      </c>
      <c r="V13" s="48"/>
      <c r="W13" s="45" t="s">
        <v>31</v>
      </c>
      <c r="X13" s="45" t="s">
        <v>54</v>
      </c>
      <c r="Y13" s="45">
        <v>455455</v>
      </c>
      <c r="Z13" s="45" t="s">
        <v>55</v>
      </c>
      <c r="AA13" s="46"/>
      <c r="AB13" s="45"/>
      <c r="AC13" s="48"/>
      <c r="AD13" s="45"/>
      <c r="AE13" s="45" t="s">
        <v>56</v>
      </c>
      <c r="AF13" s="48"/>
      <c r="AG13" s="45"/>
      <c r="AH13" s="48">
        <f t="shared" si="2"/>
        <v>0</v>
      </c>
      <c r="AI13" s="48"/>
    </row>
    <row r="14" spans="1:89" x14ac:dyDescent="0.3">
      <c r="A14" s="45" t="s">
        <v>25</v>
      </c>
      <c r="B14" s="46">
        <v>3412055</v>
      </c>
      <c r="C14" s="45" t="s">
        <v>59</v>
      </c>
      <c r="D14" s="45" t="s">
        <v>60</v>
      </c>
      <c r="E14" s="45" t="s">
        <v>53</v>
      </c>
      <c r="F14" s="54">
        <v>13202</v>
      </c>
      <c r="G14" s="45" t="s">
        <v>29</v>
      </c>
      <c r="H14" s="47">
        <v>45929</v>
      </c>
      <c r="I14" s="54">
        <v>1</v>
      </c>
      <c r="J14" s="54" t="s">
        <v>61</v>
      </c>
      <c r="K14" s="54" t="s">
        <v>61</v>
      </c>
      <c r="L14" s="46"/>
      <c r="M14" s="45"/>
      <c r="N14" s="48"/>
      <c r="O14" s="45"/>
      <c r="P14" s="45"/>
      <c r="Q14" s="45"/>
      <c r="R14" s="45"/>
      <c r="S14" s="45"/>
      <c r="T14" s="48">
        <f t="shared" si="0"/>
        <v>0</v>
      </c>
      <c r="U14" s="48">
        <f t="shared" si="1"/>
        <v>0</v>
      </c>
      <c r="V14" s="48"/>
      <c r="W14" s="45" t="s">
        <v>31</v>
      </c>
      <c r="X14" s="45" t="s">
        <v>54</v>
      </c>
      <c r="Y14" s="45">
        <v>455455</v>
      </c>
      <c r="Z14" s="45" t="s">
        <v>55</v>
      </c>
      <c r="AA14" s="46"/>
      <c r="AB14" s="45"/>
      <c r="AC14" s="48"/>
      <c r="AD14" s="45"/>
      <c r="AE14" s="45" t="s">
        <v>56</v>
      </c>
      <c r="AF14" s="48"/>
      <c r="AG14" s="45"/>
      <c r="AH14" s="48">
        <f t="shared" si="2"/>
        <v>0</v>
      </c>
      <c r="AI14" s="48"/>
    </row>
    <row r="15" spans="1:89" x14ac:dyDescent="0.3">
      <c r="A15" s="45" t="s">
        <v>25</v>
      </c>
      <c r="B15" s="46">
        <v>3406799</v>
      </c>
      <c r="C15" s="45" t="s">
        <v>62</v>
      </c>
      <c r="D15" s="45" t="s">
        <v>63</v>
      </c>
      <c r="E15" s="45" t="s">
        <v>64</v>
      </c>
      <c r="F15" s="54">
        <v>13088</v>
      </c>
      <c r="G15" s="45" t="s">
        <v>29</v>
      </c>
      <c r="H15" s="47">
        <v>45929</v>
      </c>
      <c r="I15" s="54">
        <v>3</v>
      </c>
      <c r="J15" s="54" t="s">
        <v>37</v>
      </c>
      <c r="K15" s="54" t="s">
        <v>37</v>
      </c>
      <c r="L15" s="46"/>
      <c r="M15" s="45"/>
      <c r="N15" s="48"/>
      <c r="O15" s="45"/>
      <c r="P15" s="45"/>
      <c r="Q15" s="45"/>
      <c r="R15" s="45"/>
      <c r="S15" s="45"/>
      <c r="T15" s="48">
        <f t="shared" si="0"/>
        <v>0</v>
      </c>
      <c r="U15" s="48">
        <f t="shared" si="1"/>
        <v>0</v>
      </c>
      <c r="V15" s="48"/>
      <c r="W15" s="45" t="s">
        <v>31</v>
      </c>
      <c r="X15" s="45" t="s">
        <v>54</v>
      </c>
      <c r="Y15" s="45">
        <v>455455</v>
      </c>
      <c r="Z15" s="45" t="s">
        <v>55</v>
      </c>
      <c r="AA15" s="46"/>
      <c r="AB15" s="45"/>
      <c r="AC15" s="48"/>
      <c r="AD15" s="45"/>
      <c r="AE15" s="45" t="s">
        <v>56</v>
      </c>
      <c r="AF15" s="48"/>
      <c r="AG15" s="45"/>
      <c r="AH15" s="48">
        <f t="shared" si="2"/>
        <v>0</v>
      </c>
      <c r="AI15" s="48"/>
    </row>
    <row r="16" spans="1:89" x14ac:dyDescent="0.3">
      <c r="A16" s="45" t="s">
        <v>25</v>
      </c>
      <c r="B16" s="46">
        <v>3406368</v>
      </c>
      <c r="C16" s="45" t="s">
        <v>65</v>
      </c>
      <c r="D16" s="45" t="s">
        <v>66</v>
      </c>
      <c r="E16" s="45" t="s">
        <v>67</v>
      </c>
      <c r="F16" s="54">
        <v>13760</v>
      </c>
      <c r="G16" s="45" t="s">
        <v>29</v>
      </c>
      <c r="H16" s="47">
        <v>45929</v>
      </c>
      <c r="I16" s="54">
        <v>1</v>
      </c>
      <c r="J16" s="54" t="s">
        <v>37</v>
      </c>
      <c r="K16" s="54" t="s">
        <v>37</v>
      </c>
      <c r="L16" s="46"/>
      <c r="M16" s="45"/>
      <c r="N16" s="48"/>
      <c r="O16" s="45"/>
      <c r="P16" s="45"/>
      <c r="Q16" s="45"/>
      <c r="R16" s="45"/>
      <c r="S16" s="45"/>
      <c r="T16" s="48">
        <f t="shared" si="0"/>
        <v>0</v>
      </c>
      <c r="U16" s="48">
        <f t="shared" si="1"/>
        <v>0</v>
      </c>
      <c r="V16" s="48"/>
      <c r="W16" s="45" t="s">
        <v>68</v>
      </c>
      <c r="X16" s="45" t="s">
        <v>69</v>
      </c>
      <c r="Y16" s="45">
        <v>583746</v>
      </c>
      <c r="Z16" s="45" t="s">
        <v>70</v>
      </c>
      <c r="AA16" s="46"/>
      <c r="AB16" s="45"/>
      <c r="AC16" s="48"/>
      <c r="AD16" s="45"/>
      <c r="AE16" s="45" t="s">
        <v>71</v>
      </c>
      <c r="AF16" s="45"/>
      <c r="AG16" s="45"/>
      <c r="AH16" s="48">
        <f t="shared" si="2"/>
        <v>0</v>
      </c>
      <c r="AI16" s="48"/>
    </row>
    <row r="17" spans="1:35" x14ac:dyDescent="0.3">
      <c r="A17" s="45" t="s">
        <v>25</v>
      </c>
      <c r="B17" s="46">
        <v>3371231</v>
      </c>
      <c r="C17" s="45" t="s">
        <v>72</v>
      </c>
      <c r="D17" s="45" t="s">
        <v>73</v>
      </c>
      <c r="E17" s="45" t="s">
        <v>74</v>
      </c>
      <c r="F17" s="54">
        <v>14610</v>
      </c>
      <c r="G17" s="45" t="s">
        <v>29</v>
      </c>
      <c r="H17" s="47">
        <v>45930</v>
      </c>
      <c r="I17" s="54">
        <v>1</v>
      </c>
      <c r="J17" s="54" t="s">
        <v>37</v>
      </c>
      <c r="K17" s="54" t="s">
        <v>37</v>
      </c>
      <c r="L17" s="46"/>
      <c r="M17" s="45"/>
      <c r="N17" s="48"/>
      <c r="O17" s="45"/>
      <c r="P17" s="45"/>
      <c r="Q17" s="45"/>
      <c r="R17" s="45"/>
      <c r="S17" s="45"/>
      <c r="T17" s="48">
        <f t="shared" si="0"/>
        <v>0</v>
      </c>
      <c r="U17" s="48">
        <f t="shared" si="1"/>
        <v>0</v>
      </c>
      <c r="V17" s="48"/>
      <c r="W17" s="45" t="s">
        <v>31</v>
      </c>
      <c r="X17" s="45" t="s">
        <v>43</v>
      </c>
      <c r="Y17" s="45">
        <v>455457</v>
      </c>
      <c r="Z17" s="45" t="s">
        <v>44</v>
      </c>
      <c r="AA17" s="46"/>
      <c r="AB17" s="45"/>
      <c r="AC17" s="48"/>
      <c r="AD17" s="45"/>
      <c r="AE17" s="45" t="s">
        <v>45</v>
      </c>
      <c r="AF17" s="48"/>
      <c r="AG17" s="45"/>
      <c r="AH17" s="48">
        <f t="shared" si="2"/>
        <v>0</v>
      </c>
      <c r="AI17" s="48"/>
    </row>
    <row r="18" spans="1:35" s="11" customFormat="1" x14ac:dyDescent="0.3">
      <c r="A18" s="49" t="s">
        <v>25</v>
      </c>
      <c r="B18" s="50" t="s">
        <v>75</v>
      </c>
      <c r="C18" s="49" t="s">
        <v>76</v>
      </c>
      <c r="D18" s="49" t="s">
        <v>77</v>
      </c>
      <c r="E18" s="49" t="s">
        <v>78</v>
      </c>
      <c r="F18" s="54">
        <v>14214</v>
      </c>
      <c r="G18" s="49" t="s">
        <v>29</v>
      </c>
      <c r="H18" s="51">
        <v>45931</v>
      </c>
      <c r="I18" s="54">
        <v>7</v>
      </c>
      <c r="J18" s="54" t="s">
        <v>30</v>
      </c>
      <c r="K18" s="54" t="s">
        <v>30</v>
      </c>
      <c r="L18" s="50"/>
      <c r="M18" s="45"/>
      <c r="N18" s="48"/>
      <c r="O18" s="49"/>
      <c r="P18" s="52"/>
      <c r="Q18" s="49"/>
      <c r="R18" s="49"/>
      <c r="S18" s="49"/>
      <c r="T18" s="48">
        <f t="shared" si="0"/>
        <v>0</v>
      </c>
      <c r="U18" s="48">
        <f t="shared" si="1"/>
        <v>0</v>
      </c>
      <c r="V18" s="52"/>
      <c r="W18" s="49" t="s">
        <v>31</v>
      </c>
      <c r="X18" s="49" t="s">
        <v>43</v>
      </c>
      <c r="Y18" s="49">
        <v>455457</v>
      </c>
      <c r="Z18" s="49" t="s">
        <v>44</v>
      </c>
      <c r="AA18" s="50"/>
      <c r="AB18" s="45"/>
      <c r="AC18" s="48"/>
      <c r="AD18" s="49"/>
      <c r="AE18" s="49" t="s">
        <v>45</v>
      </c>
      <c r="AF18" s="48"/>
      <c r="AG18" s="49"/>
      <c r="AH18" s="48">
        <f t="shared" si="2"/>
        <v>0</v>
      </c>
      <c r="AI18" s="52"/>
    </row>
    <row r="19" spans="1:35" x14ac:dyDescent="0.3">
      <c r="A19" s="45" t="s">
        <v>25</v>
      </c>
      <c r="B19" s="46" t="s">
        <v>79</v>
      </c>
      <c r="C19" s="45" t="s">
        <v>76</v>
      </c>
      <c r="D19" s="45" t="s">
        <v>77</v>
      </c>
      <c r="E19" s="45" t="s">
        <v>78</v>
      </c>
      <c r="F19" s="54">
        <v>14214</v>
      </c>
      <c r="G19" s="45" t="s">
        <v>29</v>
      </c>
      <c r="H19" s="47">
        <v>45931</v>
      </c>
      <c r="I19" s="54">
        <v>3</v>
      </c>
      <c r="J19" s="54" t="s">
        <v>30</v>
      </c>
      <c r="K19" s="54" t="s">
        <v>30</v>
      </c>
      <c r="L19" s="46"/>
      <c r="M19" s="45"/>
      <c r="N19" s="48"/>
      <c r="O19" s="45"/>
      <c r="P19" s="52"/>
      <c r="Q19" s="45"/>
      <c r="R19" s="45"/>
      <c r="S19" s="45"/>
      <c r="T19" s="48">
        <f t="shared" si="0"/>
        <v>0</v>
      </c>
      <c r="U19" s="48">
        <f t="shared" si="1"/>
        <v>0</v>
      </c>
      <c r="V19" s="48"/>
      <c r="W19" s="45" t="s">
        <v>31</v>
      </c>
      <c r="X19" s="45" t="s">
        <v>43</v>
      </c>
      <c r="Y19" s="45">
        <v>455457</v>
      </c>
      <c r="Z19" s="45" t="s">
        <v>44</v>
      </c>
      <c r="AA19" s="46"/>
      <c r="AB19" s="45"/>
      <c r="AC19" s="48"/>
      <c r="AD19" s="45"/>
      <c r="AE19" s="45" t="s">
        <v>45</v>
      </c>
      <c r="AF19" s="48"/>
      <c r="AG19" s="45"/>
      <c r="AH19" s="48">
        <f t="shared" si="2"/>
        <v>0</v>
      </c>
      <c r="AI19" s="48"/>
    </row>
    <row r="20" spans="1:35" x14ac:dyDescent="0.3">
      <c r="A20" s="45" t="s">
        <v>25</v>
      </c>
      <c r="B20" s="46">
        <v>3346522</v>
      </c>
      <c r="C20" s="45" t="s">
        <v>80</v>
      </c>
      <c r="D20" s="45" t="s">
        <v>81</v>
      </c>
      <c r="E20" s="45" t="s">
        <v>82</v>
      </c>
      <c r="F20" s="54">
        <v>14731</v>
      </c>
      <c r="G20" s="45" t="s">
        <v>29</v>
      </c>
      <c r="H20" s="47">
        <v>45931</v>
      </c>
      <c r="I20" s="54">
        <v>8</v>
      </c>
      <c r="J20" s="54" t="s">
        <v>30</v>
      </c>
      <c r="K20" s="54" t="s">
        <v>30</v>
      </c>
      <c r="L20" s="46"/>
      <c r="M20" s="45"/>
      <c r="N20" s="48"/>
      <c r="O20" s="45"/>
      <c r="P20" s="52"/>
      <c r="Q20" s="45"/>
      <c r="R20" s="45"/>
      <c r="S20" s="48"/>
      <c r="T20" s="48">
        <f t="shared" si="0"/>
        <v>0</v>
      </c>
      <c r="U20" s="48">
        <f t="shared" si="1"/>
        <v>0</v>
      </c>
      <c r="V20" s="48"/>
      <c r="W20" s="45" t="s">
        <v>31</v>
      </c>
      <c r="X20" s="45" t="s">
        <v>48</v>
      </c>
      <c r="Y20" s="45">
        <v>455456</v>
      </c>
      <c r="Z20" s="45" t="s">
        <v>49</v>
      </c>
      <c r="AA20" s="46"/>
      <c r="AB20" s="45"/>
      <c r="AC20" s="48"/>
      <c r="AD20" s="45"/>
      <c r="AE20" s="45" t="s">
        <v>50</v>
      </c>
      <c r="AF20" s="48"/>
      <c r="AG20" s="45"/>
      <c r="AH20" s="48">
        <f t="shared" si="2"/>
        <v>0</v>
      </c>
      <c r="AI20" s="48"/>
    </row>
    <row r="21" spans="1:35" s="11" customFormat="1" x14ac:dyDescent="0.3">
      <c r="A21" s="49" t="s">
        <v>25</v>
      </c>
      <c r="B21" s="50" t="s">
        <v>83</v>
      </c>
      <c r="C21" s="49" t="s">
        <v>59</v>
      </c>
      <c r="D21" s="49" t="s">
        <v>60</v>
      </c>
      <c r="E21" s="49" t="s">
        <v>53</v>
      </c>
      <c r="F21" s="54">
        <v>13202</v>
      </c>
      <c r="G21" s="49" t="s">
        <v>29</v>
      </c>
      <c r="H21" s="51">
        <v>45932</v>
      </c>
      <c r="I21" s="54">
        <v>1</v>
      </c>
      <c r="J21" s="54" t="s">
        <v>30</v>
      </c>
      <c r="K21" s="54" t="s">
        <v>30</v>
      </c>
      <c r="L21" s="50"/>
      <c r="M21" s="45"/>
      <c r="N21" s="48"/>
      <c r="O21" s="49"/>
      <c r="P21" s="49"/>
      <c r="Q21" s="49"/>
      <c r="R21" s="49"/>
      <c r="S21" s="49"/>
      <c r="T21" s="48">
        <f t="shared" si="0"/>
        <v>0</v>
      </c>
      <c r="U21" s="48">
        <f t="shared" si="1"/>
        <v>0</v>
      </c>
      <c r="V21" s="52"/>
      <c r="W21" s="49" t="s">
        <v>31</v>
      </c>
      <c r="X21" s="49" t="s">
        <v>43</v>
      </c>
      <c r="Y21" s="49">
        <v>455457</v>
      </c>
      <c r="Z21" s="49" t="s">
        <v>44</v>
      </c>
      <c r="AA21" s="50"/>
      <c r="AB21" s="45"/>
      <c r="AC21" s="48"/>
      <c r="AD21" s="49"/>
      <c r="AE21" s="49" t="s">
        <v>45</v>
      </c>
      <c r="AF21" s="48"/>
      <c r="AG21" s="49"/>
      <c r="AH21" s="48">
        <f t="shared" si="2"/>
        <v>0</v>
      </c>
      <c r="AI21" s="52"/>
    </row>
    <row r="22" spans="1:35" s="11" customFormat="1" x14ac:dyDescent="0.3">
      <c r="A22" s="49" t="s">
        <v>25</v>
      </c>
      <c r="B22" s="50" t="s">
        <v>84</v>
      </c>
      <c r="C22" s="49" t="s">
        <v>51</v>
      </c>
      <c r="D22" s="49" t="s">
        <v>52</v>
      </c>
      <c r="E22" s="49" t="s">
        <v>53</v>
      </c>
      <c r="F22" s="54">
        <v>13219</v>
      </c>
      <c r="G22" s="49" t="s">
        <v>29</v>
      </c>
      <c r="H22" s="51">
        <v>45932</v>
      </c>
      <c r="I22" s="54">
        <v>2</v>
      </c>
      <c r="J22" s="54" t="s">
        <v>37</v>
      </c>
      <c r="K22" s="54" t="s">
        <v>37</v>
      </c>
      <c r="L22" s="50"/>
      <c r="M22" s="45"/>
      <c r="N22" s="48"/>
      <c r="O22" s="49"/>
      <c r="P22" s="49"/>
      <c r="Q22" s="49"/>
      <c r="R22" s="49"/>
      <c r="S22" s="49"/>
      <c r="T22" s="48">
        <f t="shared" si="0"/>
        <v>0</v>
      </c>
      <c r="U22" s="48">
        <f t="shared" si="1"/>
        <v>0</v>
      </c>
      <c r="V22" s="52"/>
      <c r="W22" s="49" t="s">
        <v>31</v>
      </c>
      <c r="X22" s="49" t="s">
        <v>48</v>
      </c>
      <c r="Y22" s="49">
        <v>455456</v>
      </c>
      <c r="Z22" s="49" t="s">
        <v>49</v>
      </c>
      <c r="AA22" s="50"/>
      <c r="AB22" s="45"/>
      <c r="AC22" s="48"/>
      <c r="AD22" s="49"/>
      <c r="AE22" s="49" t="s">
        <v>50</v>
      </c>
      <c r="AF22" s="48"/>
      <c r="AG22" s="49"/>
      <c r="AH22" s="48">
        <f t="shared" si="2"/>
        <v>0</v>
      </c>
      <c r="AI22" s="52"/>
    </row>
    <row r="23" spans="1:35" x14ac:dyDescent="0.3">
      <c r="A23" s="45" t="s">
        <v>25</v>
      </c>
      <c r="B23" s="46">
        <v>3417361</v>
      </c>
      <c r="C23" s="45" t="s">
        <v>85</v>
      </c>
      <c r="D23" s="45" t="s">
        <v>86</v>
      </c>
      <c r="E23" s="45" t="s">
        <v>87</v>
      </c>
      <c r="F23" s="54">
        <v>14564</v>
      </c>
      <c r="G23" s="45" t="s">
        <v>29</v>
      </c>
      <c r="H23" s="47">
        <v>45932</v>
      </c>
      <c r="I23" s="54">
        <v>1</v>
      </c>
      <c r="J23" s="54" t="s">
        <v>37</v>
      </c>
      <c r="K23" s="54" t="s">
        <v>37</v>
      </c>
      <c r="L23" s="46"/>
      <c r="M23" s="45"/>
      <c r="N23" s="48"/>
      <c r="O23" s="45"/>
      <c r="P23" s="45"/>
      <c r="Q23" s="45"/>
      <c r="R23" s="45"/>
      <c r="S23" s="45"/>
      <c r="T23" s="48">
        <f t="shared" si="0"/>
        <v>0</v>
      </c>
      <c r="U23" s="48">
        <f t="shared" si="1"/>
        <v>0</v>
      </c>
      <c r="V23" s="48"/>
      <c r="W23" s="45" t="s">
        <v>31</v>
      </c>
      <c r="X23" s="45" t="s">
        <v>48</v>
      </c>
      <c r="Y23" s="45">
        <v>455456</v>
      </c>
      <c r="Z23" s="45" t="s">
        <v>49</v>
      </c>
      <c r="AA23" s="46"/>
      <c r="AB23" s="45"/>
      <c r="AC23" s="48"/>
      <c r="AD23" s="45"/>
      <c r="AE23" s="45" t="s">
        <v>50</v>
      </c>
      <c r="AF23" s="48"/>
      <c r="AG23" s="45"/>
      <c r="AH23" s="48">
        <f t="shared" si="2"/>
        <v>0</v>
      </c>
      <c r="AI23" s="48"/>
    </row>
    <row r="24" spans="1:35" x14ac:dyDescent="0.3">
      <c r="A24" s="45" t="s">
        <v>25</v>
      </c>
      <c r="B24" s="46">
        <v>3416308</v>
      </c>
      <c r="C24" s="45" t="s">
        <v>88</v>
      </c>
      <c r="D24" s="45" t="s">
        <v>89</v>
      </c>
      <c r="E24" s="45" t="s">
        <v>90</v>
      </c>
      <c r="F24" s="54">
        <v>14534</v>
      </c>
      <c r="G24" s="45" t="s">
        <v>29</v>
      </c>
      <c r="H24" s="47">
        <v>45932</v>
      </c>
      <c r="I24" s="54">
        <v>5</v>
      </c>
      <c r="J24" s="54" t="s">
        <v>37</v>
      </c>
      <c r="K24" s="54" t="s">
        <v>37</v>
      </c>
      <c r="L24" s="46"/>
      <c r="M24" s="45"/>
      <c r="N24" s="48"/>
      <c r="O24" s="45"/>
      <c r="P24" s="52"/>
      <c r="Q24" s="45"/>
      <c r="R24" s="45"/>
      <c r="S24" s="45"/>
      <c r="T24" s="48">
        <f t="shared" si="0"/>
        <v>0</v>
      </c>
      <c r="U24" s="48">
        <f t="shared" si="1"/>
        <v>0</v>
      </c>
      <c r="V24" s="48"/>
      <c r="W24" s="45" t="s">
        <v>31</v>
      </c>
      <c r="X24" s="45" t="s">
        <v>48</v>
      </c>
      <c r="Y24" s="45">
        <v>455456</v>
      </c>
      <c r="Z24" s="45" t="s">
        <v>49</v>
      </c>
      <c r="AA24" s="46"/>
      <c r="AB24" s="45"/>
      <c r="AC24" s="48"/>
      <c r="AD24" s="45"/>
      <c r="AE24" s="45" t="s">
        <v>50</v>
      </c>
      <c r="AF24" s="48"/>
      <c r="AG24" s="45"/>
      <c r="AH24" s="48">
        <f t="shared" si="2"/>
        <v>0</v>
      </c>
      <c r="AI24" s="48"/>
    </row>
    <row r="25" spans="1:35" x14ac:dyDescent="0.3">
      <c r="A25" s="45" t="s">
        <v>25</v>
      </c>
      <c r="B25" s="46">
        <v>3357618</v>
      </c>
      <c r="C25" s="45" t="s">
        <v>91</v>
      </c>
      <c r="D25" s="45" t="s">
        <v>92</v>
      </c>
      <c r="E25" s="45" t="s">
        <v>74</v>
      </c>
      <c r="F25" s="54">
        <v>14610</v>
      </c>
      <c r="G25" s="45" t="s">
        <v>29</v>
      </c>
      <c r="H25" s="47">
        <v>45932</v>
      </c>
      <c r="I25" s="54">
        <v>1</v>
      </c>
      <c r="J25" s="54" t="s">
        <v>37</v>
      </c>
      <c r="K25" s="54" t="s">
        <v>37</v>
      </c>
      <c r="L25" s="46"/>
      <c r="M25" s="45"/>
      <c r="N25" s="48"/>
      <c r="O25" s="45"/>
      <c r="P25" s="45"/>
      <c r="Q25" s="45"/>
      <c r="R25" s="45"/>
      <c r="S25" s="45"/>
      <c r="T25" s="48">
        <f t="shared" si="0"/>
        <v>0</v>
      </c>
      <c r="U25" s="48">
        <f t="shared" si="1"/>
        <v>0</v>
      </c>
      <c r="V25" s="48"/>
      <c r="W25" s="45" t="s">
        <v>31</v>
      </c>
      <c r="X25" s="45" t="s">
        <v>54</v>
      </c>
      <c r="Y25" s="54"/>
      <c r="Z25" s="45" t="s">
        <v>55</v>
      </c>
      <c r="AA25" s="46"/>
      <c r="AB25" s="45"/>
      <c r="AC25" s="48"/>
      <c r="AD25" s="45"/>
      <c r="AE25" s="45" t="s">
        <v>56</v>
      </c>
      <c r="AF25" s="48"/>
      <c r="AG25" s="45"/>
      <c r="AH25" s="48">
        <f t="shared" si="2"/>
        <v>0</v>
      </c>
      <c r="AI25" s="48"/>
    </row>
    <row r="26" spans="1:35" x14ac:dyDescent="0.3">
      <c r="A26" s="45" t="s">
        <v>25</v>
      </c>
      <c r="B26" s="46">
        <v>3419976</v>
      </c>
      <c r="C26" s="45" t="s">
        <v>93</v>
      </c>
      <c r="D26" s="45" t="s">
        <v>94</v>
      </c>
      <c r="E26" s="45" t="s">
        <v>74</v>
      </c>
      <c r="F26" s="54">
        <v>14625</v>
      </c>
      <c r="G26" s="45" t="s">
        <v>29</v>
      </c>
      <c r="H26" s="47">
        <v>45932</v>
      </c>
      <c r="I26" s="54">
        <v>2</v>
      </c>
      <c r="J26" s="54" t="s">
        <v>37</v>
      </c>
      <c r="K26" s="54" t="s">
        <v>37</v>
      </c>
      <c r="L26" s="46"/>
      <c r="M26" s="45"/>
      <c r="N26" s="48"/>
      <c r="O26" s="45"/>
      <c r="P26" s="45"/>
      <c r="Q26" s="45"/>
      <c r="R26" s="45"/>
      <c r="S26" s="45"/>
      <c r="T26" s="48">
        <f t="shared" si="0"/>
        <v>0</v>
      </c>
      <c r="U26" s="48">
        <f t="shared" si="1"/>
        <v>0</v>
      </c>
      <c r="V26" s="48"/>
      <c r="W26" s="45" t="s">
        <v>31</v>
      </c>
      <c r="X26" s="45" t="s">
        <v>54</v>
      </c>
      <c r="Y26" s="54"/>
      <c r="Z26" s="45" t="s">
        <v>55</v>
      </c>
      <c r="AA26" s="46"/>
      <c r="AB26" s="45"/>
      <c r="AC26" s="48"/>
      <c r="AD26" s="45"/>
      <c r="AE26" s="45" t="s">
        <v>56</v>
      </c>
      <c r="AF26" s="48"/>
      <c r="AG26" s="45"/>
      <c r="AH26" s="48">
        <f t="shared" si="2"/>
        <v>0</v>
      </c>
      <c r="AI26" s="48"/>
    </row>
    <row r="27" spans="1:35" x14ac:dyDescent="0.3">
      <c r="A27" s="45" t="s">
        <v>25</v>
      </c>
      <c r="B27" s="46">
        <v>3421182</v>
      </c>
      <c r="C27" s="45" t="s">
        <v>95</v>
      </c>
      <c r="D27" s="45" t="s">
        <v>96</v>
      </c>
      <c r="E27" s="45" t="s">
        <v>74</v>
      </c>
      <c r="F27" s="54">
        <v>14620</v>
      </c>
      <c r="G27" s="45" t="s">
        <v>29</v>
      </c>
      <c r="H27" s="47">
        <v>45932</v>
      </c>
      <c r="I27" s="54">
        <v>1</v>
      </c>
      <c r="J27" s="54" t="s">
        <v>37</v>
      </c>
      <c r="K27" s="54" t="s">
        <v>37</v>
      </c>
      <c r="L27" s="46"/>
      <c r="M27" s="45"/>
      <c r="N27" s="48"/>
      <c r="O27" s="45"/>
      <c r="P27" s="45"/>
      <c r="Q27" s="45"/>
      <c r="R27" s="45"/>
      <c r="S27" s="45"/>
      <c r="T27" s="48">
        <f t="shared" si="0"/>
        <v>0</v>
      </c>
      <c r="U27" s="48">
        <f t="shared" si="1"/>
        <v>0</v>
      </c>
      <c r="V27" s="48"/>
      <c r="W27" s="45" t="s">
        <v>31</v>
      </c>
      <c r="X27" s="45" t="s">
        <v>54</v>
      </c>
      <c r="Y27" s="54"/>
      <c r="Z27" s="45" t="s">
        <v>55</v>
      </c>
      <c r="AA27" s="46"/>
      <c r="AB27" s="45"/>
      <c r="AC27" s="48"/>
      <c r="AD27" s="45"/>
      <c r="AE27" s="45" t="s">
        <v>56</v>
      </c>
      <c r="AF27" s="48"/>
      <c r="AG27" s="45"/>
      <c r="AH27" s="48">
        <f t="shared" si="2"/>
        <v>0</v>
      </c>
      <c r="AI27" s="48"/>
    </row>
    <row r="28" spans="1:35" x14ac:dyDescent="0.3">
      <c r="A28" s="45" t="s">
        <v>25</v>
      </c>
      <c r="B28" s="46">
        <v>3419978</v>
      </c>
      <c r="C28" s="45" t="s">
        <v>97</v>
      </c>
      <c r="D28" s="45" t="s">
        <v>98</v>
      </c>
      <c r="E28" s="45" t="s">
        <v>74</v>
      </c>
      <c r="F28" s="54">
        <v>14609</v>
      </c>
      <c r="G28" s="45" t="s">
        <v>29</v>
      </c>
      <c r="H28" s="47">
        <v>45932</v>
      </c>
      <c r="I28" s="54">
        <v>1</v>
      </c>
      <c r="J28" s="54" t="s">
        <v>37</v>
      </c>
      <c r="K28" s="54" t="s">
        <v>37</v>
      </c>
      <c r="L28" s="46"/>
      <c r="M28" s="45"/>
      <c r="N28" s="48"/>
      <c r="O28" s="45"/>
      <c r="P28" s="45"/>
      <c r="Q28" s="45"/>
      <c r="R28" s="45"/>
      <c r="S28" s="45"/>
      <c r="T28" s="48">
        <f t="shared" si="0"/>
        <v>0</v>
      </c>
      <c r="U28" s="48">
        <f t="shared" si="1"/>
        <v>0</v>
      </c>
      <c r="V28" s="48"/>
      <c r="W28" s="45" t="s">
        <v>31</v>
      </c>
      <c r="X28" s="45" t="s">
        <v>54</v>
      </c>
      <c r="Y28" s="54"/>
      <c r="Z28" s="45" t="s">
        <v>55</v>
      </c>
      <c r="AA28" s="46"/>
      <c r="AB28" s="45"/>
      <c r="AC28" s="48"/>
      <c r="AD28" s="45"/>
      <c r="AE28" s="45" t="s">
        <v>56</v>
      </c>
      <c r="AF28" s="48"/>
      <c r="AG28" s="45"/>
      <c r="AH28" s="48">
        <f t="shared" si="2"/>
        <v>0</v>
      </c>
      <c r="AI28" s="48"/>
    </row>
    <row r="29" spans="1:35" x14ac:dyDescent="0.3">
      <c r="A29" s="45" t="s">
        <v>25</v>
      </c>
      <c r="B29" s="46">
        <v>3415652</v>
      </c>
      <c r="C29" s="45" t="s">
        <v>99</v>
      </c>
      <c r="D29" s="45" t="s">
        <v>100</v>
      </c>
      <c r="E29" s="45" t="s">
        <v>74</v>
      </c>
      <c r="F29" s="54">
        <v>14617</v>
      </c>
      <c r="G29" s="45" t="s">
        <v>29</v>
      </c>
      <c r="H29" s="47">
        <v>45932</v>
      </c>
      <c r="I29" s="54">
        <v>2</v>
      </c>
      <c r="J29" s="54" t="s">
        <v>37</v>
      </c>
      <c r="K29" s="54" t="s">
        <v>37</v>
      </c>
      <c r="L29" s="46"/>
      <c r="M29" s="45"/>
      <c r="N29" s="48"/>
      <c r="O29" s="45"/>
      <c r="P29" s="45"/>
      <c r="Q29" s="45"/>
      <c r="R29" s="45"/>
      <c r="S29" s="45"/>
      <c r="T29" s="48">
        <f t="shared" si="0"/>
        <v>0</v>
      </c>
      <c r="U29" s="48">
        <f t="shared" si="1"/>
        <v>0</v>
      </c>
      <c r="V29" s="48"/>
      <c r="W29" s="45" t="s">
        <v>31</v>
      </c>
      <c r="X29" s="45" t="s">
        <v>54</v>
      </c>
      <c r="Y29" s="54"/>
      <c r="Z29" s="45" t="s">
        <v>55</v>
      </c>
      <c r="AA29" s="46"/>
      <c r="AB29" s="45"/>
      <c r="AC29" s="48"/>
      <c r="AD29" s="45"/>
      <c r="AE29" s="45" t="s">
        <v>56</v>
      </c>
      <c r="AF29" s="48"/>
      <c r="AG29" s="45"/>
      <c r="AH29" s="48">
        <f t="shared" si="2"/>
        <v>0</v>
      </c>
      <c r="AI29" s="48"/>
    </row>
    <row r="30" spans="1:35" x14ac:dyDescent="0.3">
      <c r="A30" s="45" t="s">
        <v>25</v>
      </c>
      <c r="B30" s="46">
        <v>3419589</v>
      </c>
      <c r="C30" s="45" t="s">
        <v>101</v>
      </c>
      <c r="D30" s="45" t="s">
        <v>102</v>
      </c>
      <c r="E30" s="45" t="s">
        <v>103</v>
      </c>
      <c r="F30" s="54">
        <v>14559</v>
      </c>
      <c r="G30" s="45" t="s">
        <v>29</v>
      </c>
      <c r="H30" s="47">
        <v>45932</v>
      </c>
      <c r="I30" s="54">
        <v>1</v>
      </c>
      <c r="J30" s="54" t="s">
        <v>37</v>
      </c>
      <c r="K30" s="54" t="s">
        <v>37</v>
      </c>
      <c r="L30" s="46"/>
      <c r="M30" s="45"/>
      <c r="N30" s="48"/>
      <c r="O30" s="45"/>
      <c r="P30" s="45"/>
      <c r="Q30" s="45"/>
      <c r="R30" s="45"/>
      <c r="S30" s="45"/>
      <c r="T30" s="48">
        <f t="shared" si="0"/>
        <v>0</v>
      </c>
      <c r="U30" s="48">
        <f t="shared" si="1"/>
        <v>0</v>
      </c>
      <c r="V30" s="48"/>
      <c r="W30" s="45" t="s">
        <v>31</v>
      </c>
      <c r="X30" s="45" t="s">
        <v>54</v>
      </c>
      <c r="Y30" s="54"/>
      <c r="Z30" s="45" t="s">
        <v>55</v>
      </c>
      <c r="AA30" s="46"/>
      <c r="AB30" s="45"/>
      <c r="AC30" s="48"/>
      <c r="AD30" s="45"/>
      <c r="AE30" s="45" t="s">
        <v>56</v>
      </c>
      <c r="AF30" s="48"/>
      <c r="AG30" s="45"/>
      <c r="AH30" s="48">
        <f t="shared" si="2"/>
        <v>0</v>
      </c>
      <c r="AI30" s="48"/>
    </row>
    <row r="31" spans="1:35" x14ac:dyDescent="0.3">
      <c r="A31" s="45" t="s">
        <v>25</v>
      </c>
      <c r="B31" s="46">
        <v>3386726</v>
      </c>
      <c r="C31" s="45" t="s">
        <v>104</v>
      </c>
      <c r="D31" s="45" t="s">
        <v>105</v>
      </c>
      <c r="E31" s="45" t="s">
        <v>103</v>
      </c>
      <c r="F31" s="54">
        <v>14559</v>
      </c>
      <c r="G31" s="45" t="s">
        <v>29</v>
      </c>
      <c r="H31" s="47">
        <v>45932</v>
      </c>
      <c r="I31" s="54">
        <v>3</v>
      </c>
      <c r="J31" s="54" t="s">
        <v>37</v>
      </c>
      <c r="K31" s="54" t="s">
        <v>37</v>
      </c>
      <c r="L31" s="46"/>
      <c r="M31" s="45"/>
      <c r="N31" s="48"/>
      <c r="O31" s="45"/>
      <c r="P31" s="45"/>
      <c r="Q31" s="45"/>
      <c r="R31" s="45"/>
      <c r="S31" s="45"/>
      <c r="T31" s="48">
        <f t="shared" si="0"/>
        <v>0</v>
      </c>
      <c r="U31" s="48">
        <f t="shared" si="1"/>
        <v>0</v>
      </c>
      <c r="V31" s="48"/>
      <c r="W31" s="45" t="s">
        <v>31</v>
      </c>
      <c r="X31" s="45" t="s">
        <v>54</v>
      </c>
      <c r="Y31" s="54"/>
      <c r="Z31" s="45" t="s">
        <v>55</v>
      </c>
      <c r="AA31" s="46"/>
      <c r="AB31" s="45"/>
      <c r="AC31" s="48"/>
      <c r="AD31" s="45"/>
      <c r="AE31" s="45" t="s">
        <v>56</v>
      </c>
      <c r="AF31" s="48"/>
      <c r="AG31" s="45"/>
      <c r="AH31" s="48">
        <f t="shared" si="2"/>
        <v>0</v>
      </c>
      <c r="AI31" s="48"/>
    </row>
    <row r="32" spans="1:35" x14ac:dyDescent="0.3">
      <c r="A32" s="45" t="s">
        <v>25</v>
      </c>
      <c r="B32" s="46">
        <v>3419563</v>
      </c>
      <c r="C32" s="45" t="s">
        <v>106</v>
      </c>
      <c r="D32" s="45" t="s">
        <v>107</v>
      </c>
      <c r="E32" s="45" t="s">
        <v>78</v>
      </c>
      <c r="F32" s="54">
        <v>14221</v>
      </c>
      <c r="G32" s="45" t="s">
        <v>29</v>
      </c>
      <c r="H32" s="47">
        <v>45933</v>
      </c>
      <c r="I32" s="54">
        <v>2</v>
      </c>
      <c r="J32" s="54" t="s">
        <v>37</v>
      </c>
      <c r="K32" s="54" t="s">
        <v>37</v>
      </c>
      <c r="L32" s="46"/>
      <c r="M32" s="45"/>
      <c r="N32" s="48"/>
      <c r="O32" s="45"/>
      <c r="P32" s="45"/>
      <c r="Q32" s="45"/>
      <c r="R32" s="45"/>
      <c r="S32" s="45"/>
      <c r="T32" s="48">
        <f t="shared" si="0"/>
        <v>0</v>
      </c>
      <c r="U32" s="48">
        <f t="shared" si="1"/>
        <v>0</v>
      </c>
      <c r="V32" s="48"/>
      <c r="W32" s="45" t="s">
        <v>31</v>
      </c>
      <c r="X32" s="45" t="s">
        <v>43</v>
      </c>
      <c r="Y32" s="45">
        <v>455457</v>
      </c>
      <c r="Z32" s="45" t="s">
        <v>44</v>
      </c>
      <c r="AA32" s="46"/>
      <c r="AB32" s="45"/>
      <c r="AC32" s="48"/>
      <c r="AD32" s="45"/>
      <c r="AE32" s="45" t="s">
        <v>45</v>
      </c>
      <c r="AF32" s="48"/>
      <c r="AG32" s="45"/>
      <c r="AH32" s="48">
        <f t="shared" si="2"/>
        <v>0</v>
      </c>
      <c r="AI32" s="48"/>
    </row>
    <row r="33" spans="1:35" x14ac:dyDescent="0.3">
      <c r="A33" s="45" t="s">
        <v>25</v>
      </c>
      <c r="B33" s="46">
        <v>3420240</v>
      </c>
      <c r="C33" s="45" t="s">
        <v>108</v>
      </c>
      <c r="D33" s="45" t="s">
        <v>109</v>
      </c>
      <c r="E33" s="45" t="s">
        <v>90</v>
      </c>
      <c r="F33" s="54">
        <v>14534</v>
      </c>
      <c r="G33" s="45" t="s">
        <v>29</v>
      </c>
      <c r="H33" s="47">
        <v>45933</v>
      </c>
      <c r="I33" s="54">
        <v>1</v>
      </c>
      <c r="J33" s="54" t="s">
        <v>37</v>
      </c>
      <c r="K33" s="54" t="s">
        <v>37</v>
      </c>
      <c r="L33" s="46"/>
      <c r="M33" s="45"/>
      <c r="N33" s="48"/>
      <c r="O33" s="45"/>
      <c r="P33" s="45"/>
      <c r="Q33" s="45"/>
      <c r="R33" s="45"/>
      <c r="S33" s="45"/>
      <c r="T33" s="48">
        <f t="shared" si="0"/>
        <v>0</v>
      </c>
      <c r="U33" s="48">
        <f t="shared" si="1"/>
        <v>0</v>
      </c>
      <c r="V33" s="48"/>
      <c r="W33" s="45" t="s">
        <v>31</v>
      </c>
      <c r="X33" s="45" t="s">
        <v>48</v>
      </c>
      <c r="Y33" s="45">
        <v>455456</v>
      </c>
      <c r="Z33" s="45" t="s">
        <v>49</v>
      </c>
      <c r="AA33" s="46"/>
      <c r="AB33" s="45"/>
      <c r="AC33" s="48"/>
      <c r="AD33" s="45"/>
      <c r="AE33" s="45" t="s">
        <v>50</v>
      </c>
      <c r="AF33" s="48"/>
      <c r="AG33" s="45"/>
      <c r="AH33" s="48">
        <f t="shared" si="2"/>
        <v>0</v>
      </c>
      <c r="AI33" s="48"/>
    </row>
    <row r="34" spans="1:35" x14ac:dyDescent="0.3">
      <c r="A34" s="45" t="s">
        <v>25</v>
      </c>
      <c r="B34" s="46">
        <v>3417578</v>
      </c>
      <c r="C34" s="45" t="s">
        <v>110</v>
      </c>
      <c r="D34" s="45" t="s">
        <v>111</v>
      </c>
      <c r="E34" s="45" t="s">
        <v>78</v>
      </c>
      <c r="F34" s="54">
        <v>14226</v>
      </c>
      <c r="G34" s="45" t="s">
        <v>29</v>
      </c>
      <c r="H34" s="47">
        <v>45933</v>
      </c>
      <c r="I34" s="54">
        <v>2</v>
      </c>
      <c r="J34" s="54" t="s">
        <v>37</v>
      </c>
      <c r="K34" s="54" t="s">
        <v>37</v>
      </c>
      <c r="L34" s="46"/>
      <c r="M34" s="45"/>
      <c r="N34" s="48"/>
      <c r="O34" s="45"/>
      <c r="P34" s="45"/>
      <c r="Q34" s="45"/>
      <c r="R34" s="45"/>
      <c r="S34" s="45"/>
      <c r="T34" s="48">
        <f t="shared" si="0"/>
        <v>0</v>
      </c>
      <c r="U34" s="48">
        <f t="shared" si="1"/>
        <v>0</v>
      </c>
      <c r="V34" s="48"/>
      <c r="W34" s="45" t="s">
        <v>31</v>
      </c>
      <c r="X34" s="45" t="s">
        <v>48</v>
      </c>
      <c r="Y34" s="45">
        <v>455456</v>
      </c>
      <c r="Z34" s="45" t="s">
        <v>49</v>
      </c>
      <c r="AA34" s="46"/>
      <c r="AB34" s="45"/>
      <c r="AC34" s="48"/>
      <c r="AD34" s="45"/>
      <c r="AE34" s="45" t="s">
        <v>50</v>
      </c>
      <c r="AF34" s="48"/>
      <c r="AG34" s="45"/>
      <c r="AH34" s="48">
        <f t="shared" si="2"/>
        <v>0</v>
      </c>
      <c r="AI34" s="48"/>
    </row>
    <row r="35" spans="1:35" x14ac:dyDescent="0.3">
      <c r="A35" s="45" t="s">
        <v>25</v>
      </c>
      <c r="B35" s="46">
        <v>3416363</v>
      </c>
      <c r="C35" s="45" t="s">
        <v>112</v>
      </c>
      <c r="D35" s="45" t="s">
        <v>113</v>
      </c>
      <c r="E35" s="45" t="s">
        <v>114</v>
      </c>
      <c r="F35" s="54">
        <v>14224</v>
      </c>
      <c r="G35" s="45" t="s">
        <v>29</v>
      </c>
      <c r="H35" s="47">
        <v>45933</v>
      </c>
      <c r="I35" s="54">
        <v>1</v>
      </c>
      <c r="J35" s="54" t="s">
        <v>37</v>
      </c>
      <c r="K35" s="54" t="s">
        <v>37</v>
      </c>
      <c r="L35" s="46"/>
      <c r="M35" s="45"/>
      <c r="N35" s="48"/>
      <c r="O35" s="45"/>
      <c r="P35" s="45"/>
      <c r="Q35" s="45"/>
      <c r="R35" s="45"/>
      <c r="S35" s="45"/>
      <c r="T35" s="48">
        <f t="shared" si="0"/>
        <v>0</v>
      </c>
      <c r="U35" s="48">
        <f t="shared" si="1"/>
        <v>0</v>
      </c>
      <c r="V35" s="48"/>
      <c r="W35" s="45" t="s">
        <v>31</v>
      </c>
      <c r="X35" s="45" t="s">
        <v>115</v>
      </c>
      <c r="Y35" s="45">
        <v>583746</v>
      </c>
      <c r="Z35" s="45" t="s">
        <v>116</v>
      </c>
      <c r="AA35" s="46"/>
      <c r="AB35" s="45"/>
      <c r="AC35" s="48"/>
      <c r="AD35" s="45"/>
      <c r="AE35" s="45" t="s">
        <v>117</v>
      </c>
      <c r="AF35" s="48"/>
      <c r="AG35" s="45"/>
      <c r="AH35" s="48">
        <f t="shared" si="2"/>
        <v>0</v>
      </c>
      <c r="AI35" s="48"/>
    </row>
    <row r="36" spans="1:35" ht="15" thickBot="1" x14ac:dyDescent="0.35">
      <c r="D36" s="11"/>
    </row>
    <row r="37" spans="1:35" ht="15" thickBot="1" x14ac:dyDescent="0.35">
      <c r="D37" s="11"/>
      <c r="L37" s="57"/>
      <c r="M37" s="57"/>
      <c r="N37" s="58">
        <f>SUBTOTAL(9,N6:N35)</f>
        <v>0</v>
      </c>
      <c r="P37" s="58">
        <f>SUBTOTAL(9,P6:P35)</f>
        <v>0</v>
      </c>
      <c r="Q37" s="57"/>
      <c r="R37" s="57"/>
      <c r="S37" s="58">
        <f>SUBTOTAL(9,S6:S35)</f>
        <v>0</v>
      </c>
      <c r="T37" s="58">
        <f>SUBTOTAL(9,T6:T35)</f>
        <v>0</v>
      </c>
      <c r="U37" s="58">
        <f>SUBTOTAL(9,U6:U35)</f>
        <v>0</v>
      </c>
      <c r="V37"/>
      <c r="W37" s="57"/>
      <c r="X37" s="57"/>
      <c r="Y37" s="57"/>
      <c r="AC37" s="58">
        <f>SUBTOTAL(9,AC6:AC35)</f>
        <v>0</v>
      </c>
      <c r="AD37" s="57"/>
      <c r="AF37" s="58">
        <f>SUBTOTAL(9,AF6:AF35)</f>
        <v>0</v>
      </c>
      <c r="AH37" s="58">
        <f>SUBTOTAL(9,AH6:AH35)</f>
        <v>0</v>
      </c>
    </row>
    <row r="38" spans="1:35" x14ac:dyDescent="0.3">
      <c r="C38" s="11"/>
      <c r="D38" s="11"/>
    </row>
    <row r="39" spans="1:35" x14ac:dyDescent="0.3">
      <c r="C39" s="11"/>
      <c r="D39" s="11"/>
    </row>
    <row r="40" spans="1:35" x14ac:dyDescent="0.3">
      <c r="C40" s="11"/>
      <c r="D40" s="11"/>
    </row>
    <row r="41" spans="1:35" x14ac:dyDescent="0.3">
      <c r="C41" s="11"/>
      <c r="D41" s="11"/>
    </row>
    <row r="42" spans="1:35" x14ac:dyDescent="0.3">
      <c r="C42" s="11"/>
      <c r="D42" s="11"/>
    </row>
    <row r="43" spans="1:35" x14ac:dyDescent="0.3">
      <c r="C43" s="11"/>
      <c r="D43" s="11"/>
    </row>
    <row r="44" spans="1:35" x14ac:dyDescent="0.3">
      <c r="C44" s="11"/>
      <c r="D44" s="11"/>
    </row>
    <row r="45" spans="1:35" x14ac:dyDescent="0.3">
      <c r="C45" s="11"/>
      <c r="D45" s="11"/>
    </row>
    <row r="46" spans="1:35" x14ac:dyDescent="0.3">
      <c r="C46" s="11"/>
      <c r="D46" s="11"/>
    </row>
    <row r="47" spans="1:35" x14ac:dyDescent="0.3">
      <c r="C47" s="11"/>
      <c r="D47" s="11"/>
    </row>
    <row r="48" spans="1:35" x14ac:dyDescent="0.3">
      <c r="C48" s="11"/>
      <c r="D48" s="11"/>
    </row>
    <row r="49" spans="3:4" x14ac:dyDescent="0.3">
      <c r="C49" s="11"/>
      <c r="D49" s="11"/>
    </row>
    <row r="50" spans="3:4" x14ac:dyDescent="0.3">
      <c r="C50" s="11"/>
      <c r="D50" s="11"/>
    </row>
    <row r="51" spans="3:4" x14ac:dyDescent="0.3">
      <c r="C51" s="11"/>
      <c r="D51" s="11"/>
    </row>
    <row r="52" spans="3:4" x14ac:dyDescent="0.3">
      <c r="C52" s="11"/>
      <c r="D52" s="11"/>
    </row>
    <row r="53" spans="3:4" x14ac:dyDescent="0.3">
      <c r="C53" s="11"/>
      <c r="D53" s="11"/>
    </row>
    <row r="54" spans="3:4" x14ac:dyDescent="0.3">
      <c r="C54" s="11"/>
      <c r="D54" s="11"/>
    </row>
    <row r="55" spans="3:4" x14ac:dyDescent="0.3">
      <c r="C55" s="11"/>
      <c r="D55" s="11"/>
    </row>
    <row r="56" spans="3:4" x14ac:dyDescent="0.3">
      <c r="C56" s="11"/>
      <c r="D56" s="11"/>
    </row>
    <row r="57" spans="3:4" x14ac:dyDescent="0.3">
      <c r="C57" s="11"/>
      <c r="D57" s="11"/>
    </row>
    <row r="58" spans="3:4" x14ac:dyDescent="0.3">
      <c r="C58" s="11"/>
      <c r="D58" s="11"/>
    </row>
    <row r="59" spans="3:4" x14ac:dyDescent="0.3">
      <c r="C59" s="11"/>
      <c r="D59" s="11"/>
    </row>
    <row r="60" spans="3:4" x14ac:dyDescent="0.3">
      <c r="C60" s="11"/>
      <c r="D60" s="11"/>
    </row>
    <row r="61" spans="3:4" x14ac:dyDescent="0.3">
      <c r="C61" s="11"/>
      <c r="D61" s="11"/>
    </row>
    <row r="62" spans="3:4" x14ac:dyDescent="0.3">
      <c r="C62" s="11"/>
      <c r="D62" s="11"/>
    </row>
    <row r="63" spans="3:4" x14ac:dyDescent="0.3">
      <c r="C63" s="11"/>
      <c r="D63" s="11"/>
    </row>
    <row r="64" spans="3:4" x14ac:dyDescent="0.3">
      <c r="C64" s="11"/>
      <c r="D64" s="11"/>
    </row>
    <row r="65" spans="3:4" x14ac:dyDescent="0.3">
      <c r="C65" s="11"/>
      <c r="D65" s="11"/>
    </row>
    <row r="66" spans="3:4" x14ac:dyDescent="0.3">
      <c r="C66" s="11"/>
      <c r="D66" s="11"/>
    </row>
    <row r="67" spans="3:4" x14ac:dyDescent="0.3">
      <c r="C67" s="11"/>
      <c r="D67" s="11"/>
    </row>
    <row r="68" spans="3:4" x14ac:dyDescent="0.3">
      <c r="C68" s="11"/>
      <c r="D68" s="11"/>
    </row>
    <row r="69" spans="3:4" x14ac:dyDescent="0.3">
      <c r="C69" s="11"/>
      <c r="D69" s="11"/>
    </row>
    <row r="70" spans="3:4" x14ac:dyDescent="0.3">
      <c r="C70" s="11"/>
      <c r="D70" s="11"/>
    </row>
    <row r="71" spans="3:4" x14ac:dyDescent="0.3">
      <c r="C71" s="11"/>
      <c r="D71" s="11"/>
    </row>
    <row r="72" spans="3:4" x14ac:dyDescent="0.3">
      <c r="C72" s="11"/>
      <c r="D72" s="11"/>
    </row>
    <row r="73" spans="3:4" x14ac:dyDescent="0.3">
      <c r="C73" s="11"/>
      <c r="D73" s="11"/>
    </row>
    <row r="74" spans="3:4" x14ac:dyDescent="0.3">
      <c r="C74" s="11"/>
      <c r="D74" s="11"/>
    </row>
    <row r="75" spans="3:4" x14ac:dyDescent="0.3">
      <c r="C75" s="11"/>
      <c r="D75" s="11"/>
    </row>
    <row r="76" spans="3:4" x14ac:dyDescent="0.3">
      <c r="C76" s="11"/>
      <c r="D76" s="11"/>
    </row>
    <row r="77" spans="3:4" x14ac:dyDescent="0.3">
      <c r="C77" s="11"/>
      <c r="D77" s="11"/>
    </row>
    <row r="78" spans="3:4" x14ac:dyDescent="0.3">
      <c r="C78" s="11"/>
      <c r="D78" s="11"/>
    </row>
    <row r="79" spans="3:4" x14ac:dyDescent="0.3">
      <c r="C79" s="11"/>
      <c r="D79" s="11"/>
    </row>
    <row r="80" spans="3:4" x14ac:dyDescent="0.3">
      <c r="C80" s="11"/>
      <c r="D80" s="11"/>
    </row>
    <row r="81" spans="3:4" x14ac:dyDescent="0.3">
      <c r="C81" s="11"/>
      <c r="D81" s="11"/>
    </row>
    <row r="82" spans="3:4" x14ac:dyDescent="0.3">
      <c r="C82" s="11"/>
      <c r="D82" s="11"/>
    </row>
    <row r="83" spans="3:4" x14ac:dyDescent="0.3">
      <c r="C83" s="11"/>
      <c r="D83" s="11"/>
    </row>
    <row r="84" spans="3:4" x14ac:dyDescent="0.3">
      <c r="C84" s="11"/>
      <c r="D84" s="11"/>
    </row>
    <row r="85" spans="3:4" x14ac:dyDescent="0.3">
      <c r="C85" s="11"/>
      <c r="D85" s="11"/>
    </row>
    <row r="86" spans="3:4" x14ac:dyDescent="0.3">
      <c r="C86" s="11"/>
      <c r="D86" s="11"/>
    </row>
    <row r="87" spans="3:4" x14ac:dyDescent="0.3">
      <c r="C87" s="11"/>
      <c r="D87" s="11"/>
    </row>
    <row r="88" spans="3:4" x14ac:dyDescent="0.3">
      <c r="C88" s="11"/>
      <c r="D88" s="11"/>
    </row>
    <row r="89" spans="3:4" x14ac:dyDescent="0.3">
      <c r="C89" s="11"/>
      <c r="D89" s="11"/>
    </row>
    <row r="90" spans="3:4" x14ac:dyDescent="0.3">
      <c r="C90" s="11"/>
      <c r="D90" s="11"/>
    </row>
    <row r="91" spans="3:4" x14ac:dyDescent="0.3">
      <c r="C91" s="11"/>
      <c r="D91" s="11"/>
    </row>
    <row r="92" spans="3:4" x14ac:dyDescent="0.3">
      <c r="C92" s="11"/>
      <c r="D92" s="11"/>
    </row>
    <row r="93" spans="3:4" x14ac:dyDescent="0.3">
      <c r="C93" s="11"/>
      <c r="D93" s="11"/>
    </row>
    <row r="94" spans="3:4" x14ac:dyDescent="0.3">
      <c r="C94" s="11"/>
      <c r="D94" s="11"/>
    </row>
    <row r="95" spans="3:4" x14ac:dyDescent="0.3">
      <c r="C95" s="11"/>
      <c r="D95" s="11"/>
    </row>
    <row r="96" spans="3:4" x14ac:dyDescent="0.3">
      <c r="C96" s="11"/>
      <c r="D96" s="11"/>
    </row>
    <row r="97" spans="3:4" x14ac:dyDescent="0.3">
      <c r="C97" s="11"/>
      <c r="D97" s="11"/>
    </row>
    <row r="98" spans="3:4" x14ac:dyDescent="0.3">
      <c r="C98" s="11"/>
      <c r="D98" s="11"/>
    </row>
    <row r="99" spans="3:4" x14ac:dyDescent="0.3">
      <c r="C99" s="11"/>
      <c r="D99" s="11"/>
    </row>
    <row r="100" spans="3:4" x14ac:dyDescent="0.3">
      <c r="C100" s="11"/>
      <c r="D100" s="11"/>
    </row>
    <row r="101" spans="3:4" x14ac:dyDescent="0.3">
      <c r="C101" s="11"/>
      <c r="D101" s="11"/>
    </row>
    <row r="102" spans="3:4" x14ac:dyDescent="0.3">
      <c r="C102" s="11"/>
      <c r="D102" s="11"/>
    </row>
    <row r="103" spans="3:4" x14ac:dyDescent="0.3">
      <c r="C103" s="11"/>
      <c r="D103" s="11"/>
    </row>
    <row r="104" spans="3:4" x14ac:dyDescent="0.3">
      <c r="C104" s="11"/>
      <c r="D104" s="11"/>
    </row>
    <row r="105" spans="3:4" x14ac:dyDescent="0.3">
      <c r="C105" s="11"/>
      <c r="D105" s="11"/>
    </row>
    <row r="106" spans="3:4" x14ac:dyDescent="0.3">
      <c r="C106" s="11"/>
      <c r="D106" s="11"/>
    </row>
    <row r="107" spans="3:4" x14ac:dyDescent="0.3">
      <c r="C107" s="11"/>
      <c r="D107" s="11"/>
    </row>
    <row r="108" spans="3:4" x14ac:dyDescent="0.3">
      <c r="C108" s="11"/>
      <c r="D108" s="11"/>
    </row>
    <row r="109" spans="3:4" x14ac:dyDescent="0.3">
      <c r="C109" s="11"/>
      <c r="D109" s="11"/>
    </row>
    <row r="110" spans="3:4" x14ac:dyDescent="0.3">
      <c r="C110" s="11"/>
      <c r="D110" s="11"/>
    </row>
    <row r="111" spans="3:4" x14ac:dyDescent="0.3">
      <c r="C111" s="11"/>
      <c r="D111" s="11"/>
    </row>
    <row r="112" spans="3:4" x14ac:dyDescent="0.3">
      <c r="C112" s="11"/>
      <c r="D112" s="11"/>
    </row>
    <row r="113" spans="3:4" x14ac:dyDescent="0.3">
      <c r="C113" s="11"/>
      <c r="D113" s="11"/>
    </row>
    <row r="114" spans="3:4" x14ac:dyDescent="0.3">
      <c r="C114" s="11"/>
      <c r="D114" s="11"/>
    </row>
    <row r="115" spans="3:4" x14ac:dyDescent="0.3">
      <c r="C115" s="11"/>
      <c r="D115" s="11"/>
    </row>
    <row r="116" spans="3:4" x14ac:dyDescent="0.3">
      <c r="C116" s="11"/>
      <c r="D116" s="11"/>
    </row>
    <row r="117" spans="3:4" x14ac:dyDescent="0.3">
      <c r="C117" s="11"/>
      <c r="D117" s="11"/>
    </row>
    <row r="118" spans="3:4" x14ac:dyDescent="0.3">
      <c r="C118" s="11"/>
      <c r="D118" s="11"/>
    </row>
    <row r="119" spans="3:4" x14ac:dyDescent="0.3">
      <c r="C119" s="11"/>
      <c r="D119" s="11"/>
    </row>
    <row r="120" spans="3:4" x14ac:dyDescent="0.3">
      <c r="C120" s="11"/>
      <c r="D120" s="11"/>
    </row>
    <row r="121" spans="3:4" x14ac:dyDescent="0.3">
      <c r="C121" s="11"/>
      <c r="D121" s="11"/>
    </row>
    <row r="122" spans="3:4" x14ac:dyDescent="0.3">
      <c r="C122" s="11"/>
      <c r="D122" s="11"/>
    </row>
    <row r="123" spans="3:4" x14ac:dyDescent="0.3">
      <c r="C123" s="11"/>
      <c r="D123" s="11"/>
    </row>
    <row r="124" spans="3:4" x14ac:dyDescent="0.3">
      <c r="C124" s="11"/>
      <c r="D124" s="11"/>
    </row>
    <row r="125" spans="3:4" x14ac:dyDescent="0.3">
      <c r="C125" s="11"/>
      <c r="D125" s="11"/>
    </row>
    <row r="126" spans="3:4" x14ac:dyDescent="0.3">
      <c r="C126" s="11"/>
      <c r="D126" s="11"/>
    </row>
    <row r="127" spans="3:4" x14ac:dyDescent="0.3">
      <c r="C127" s="11"/>
      <c r="D127" s="11"/>
    </row>
    <row r="128" spans="3:4" x14ac:dyDescent="0.3">
      <c r="C128" s="11"/>
      <c r="D128" s="11"/>
    </row>
    <row r="129" spans="3:4" x14ac:dyDescent="0.3">
      <c r="C129" s="11"/>
      <c r="D129" s="11"/>
    </row>
    <row r="130" spans="3:4" x14ac:dyDescent="0.3">
      <c r="C130" s="11"/>
      <c r="D130" s="11"/>
    </row>
    <row r="131" spans="3:4" x14ac:dyDescent="0.3">
      <c r="C131" s="11"/>
      <c r="D131" s="11"/>
    </row>
    <row r="132" spans="3:4" x14ac:dyDescent="0.3">
      <c r="C132" s="11"/>
      <c r="D132" s="11"/>
    </row>
    <row r="133" spans="3:4" x14ac:dyDescent="0.3">
      <c r="C133" s="11"/>
      <c r="D133" s="11"/>
    </row>
    <row r="134" spans="3:4" x14ac:dyDescent="0.3">
      <c r="C134" s="11"/>
      <c r="D134" s="11"/>
    </row>
    <row r="135" spans="3:4" x14ac:dyDescent="0.3">
      <c r="C135" s="11"/>
      <c r="D135" s="11"/>
    </row>
    <row r="136" spans="3:4" x14ac:dyDescent="0.3">
      <c r="C136" s="11"/>
      <c r="D136" s="11"/>
    </row>
    <row r="137" spans="3:4" x14ac:dyDescent="0.3">
      <c r="C137" s="11"/>
      <c r="D137" s="11"/>
    </row>
    <row r="138" spans="3:4" x14ac:dyDescent="0.3">
      <c r="C138" s="11"/>
      <c r="D138" s="11"/>
    </row>
    <row r="139" spans="3:4" x14ac:dyDescent="0.3">
      <c r="C139" s="11"/>
      <c r="D139" s="11"/>
    </row>
    <row r="140" spans="3:4" x14ac:dyDescent="0.3">
      <c r="C140" s="11"/>
      <c r="D140" s="11"/>
    </row>
    <row r="141" spans="3:4" x14ac:dyDescent="0.3">
      <c r="C141" s="11"/>
      <c r="D141" s="11"/>
    </row>
    <row r="142" spans="3:4" x14ac:dyDescent="0.3">
      <c r="C142" s="11"/>
      <c r="D142" s="11"/>
    </row>
    <row r="143" spans="3:4" x14ac:dyDescent="0.3">
      <c r="C143" s="11"/>
      <c r="D143" s="11"/>
    </row>
    <row r="144" spans="3:4" x14ac:dyDescent="0.3">
      <c r="C144" s="11"/>
      <c r="D144" s="11"/>
    </row>
    <row r="145" spans="3:4" x14ac:dyDescent="0.3">
      <c r="C145" s="11"/>
      <c r="D145" s="11"/>
    </row>
    <row r="146" spans="3:4" x14ac:dyDescent="0.3">
      <c r="C146" s="11"/>
      <c r="D146" s="11"/>
    </row>
    <row r="147" spans="3:4" x14ac:dyDescent="0.3">
      <c r="C147" s="11"/>
      <c r="D147" s="11"/>
    </row>
    <row r="148" spans="3:4" x14ac:dyDescent="0.3">
      <c r="C148" s="11"/>
      <c r="D148" s="11"/>
    </row>
    <row r="149" spans="3:4" x14ac:dyDescent="0.3">
      <c r="C149" s="11"/>
      <c r="D149" s="11"/>
    </row>
    <row r="150" spans="3:4" x14ac:dyDescent="0.3">
      <c r="C150" s="11"/>
      <c r="D150" s="11"/>
    </row>
    <row r="151" spans="3:4" x14ac:dyDescent="0.3">
      <c r="C151" s="11"/>
      <c r="D151" s="11"/>
    </row>
    <row r="152" spans="3:4" x14ac:dyDescent="0.3">
      <c r="C152" s="11"/>
      <c r="D152" s="11"/>
    </row>
    <row r="153" spans="3:4" x14ac:dyDescent="0.3">
      <c r="C153" s="11"/>
      <c r="D153" s="11"/>
    </row>
    <row r="154" spans="3:4" x14ac:dyDescent="0.3">
      <c r="C154" s="11"/>
      <c r="D154" s="11"/>
    </row>
    <row r="155" spans="3:4" x14ac:dyDescent="0.3">
      <c r="C155" s="11"/>
      <c r="D155" s="11"/>
    </row>
    <row r="156" spans="3:4" x14ac:dyDescent="0.3">
      <c r="C156" s="11"/>
      <c r="D156" s="11"/>
    </row>
    <row r="157" spans="3:4" x14ac:dyDescent="0.3">
      <c r="C157" s="11"/>
      <c r="D157" s="11"/>
    </row>
    <row r="158" spans="3:4" x14ac:dyDescent="0.3">
      <c r="C158" s="11"/>
      <c r="D158" s="11"/>
    </row>
    <row r="159" spans="3:4" x14ac:dyDescent="0.3">
      <c r="C159" s="11"/>
      <c r="D159" s="11"/>
    </row>
    <row r="160" spans="3:4" x14ac:dyDescent="0.3">
      <c r="C160" s="11"/>
      <c r="D160" s="11"/>
    </row>
    <row r="161" spans="3:4" x14ac:dyDescent="0.3">
      <c r="C161" s="11"/>
      <c r="D161" s="11"/>
    </row>
    <row r="162" spans="3:4" x14ac:dyDescent="0.3">
      <c r="C162" s="11"/>
      <c r="D162" s="11"/>
    </row>
    <row r="163" spans="3:4" x14ac:dyDescent="0.3">
      <c r="C163" s="11"/>
      <c r="D163" s="11"/>
    </row>
    <row r="164" spans="3:4" x14ac:dyDescent="0.3">
      <c r="C164" s="11"/>
      <c r="D164" s="11"/>
    </row>
    <row r="165" spans="3:4" x14ac:dyDescent="0.3">
      <c r="C165" s="11"/>
      <c r="D165" s="11"/>
    </row>
    <row r="166" spans="3:4" x14ac:dyDescent="0.3">
      <c r="C166" s="11"/>
      <c r="D166" s="11"/>
    </row>
    <row r="167" spans="3:4" x14ac:dyDescent="0.3">
      <c r="C167" s="11"/>
      <c r="D167" s="11"/>
    </row>
    <row r="168" spans="3:4" x14ac:dyDescent="0.3">
      <c r="C168" s="11"/>
      <c r="D168" s="11"/>
    </row>
    <row r="169" spans="3:4" x14ac:dyDescent="0.3">
      <c r="C169" s="11"/>
      <c r="D169" s="11"/>
    </row>
    <row r="170" spans="3:4" x14ac:dyDescent="0.3">
      <c r="C170" s="11"/>
      <c r="D170" s="11"/>
    </row>
    <row r="171" spans="3:4" x14ac:dyDescent="0.3">
      <c r="C171" s="11"/>
      <c r="D171" s="11"/>
    </row>
    <row r="172" spans="3:4" x14ac:dyDescent="0.3">
      <c r="C172" s="11"/>
      <c r="D172" s="11"/>
    </row>
    <row r="173" spans="3:4" x14ac:dyDescent="0.3">
      <c r="C173" s="11"/>
      <c r="D173" s="11"/>
    </row>
    <row r="174" spans="3:4" x14ac:dyDescent="0.3">
      <c r="C174" s="11"/>
      <c r="D174" s="11"/>
    </row>
    <row r="175" spans="3:4" x14ac:dyDescent="0.3">
      <c r="C175" s="11"/>
      <c r="D175" s="11"/>
    </row>
    <row r="176" spans="3:4" x14ac:dyDescent="0.3">
      <c r="C176" s="11"/>
      <c r="D176" s="11"/>
    </row>
    <row r="177" spans="3:4" x14ac:dyDescent="0.3">
      <c r="C177" s="11"/>
      <c r="D177" s="11"/>
    </row>
    <row r="178" spans="3:4" x14ac:dyDescent="0.3">
      <c r="C178" s="11"/>
      <c r="D178" s="11"/>
    </row>
    <row r="179" spans="3:4" x14ac:dyDescent="0.3">
      <c r="C179" s="11"/>
      <c r="D179" s="11"/>
    </row>
    <row r="180" spans="3:4" x14ac:dyDescent="0.3">
      <c r="C180" s="11"/>
      <c r="D180" s="11"/>
    </row>
    <row r="181" spans="3:4" x14ac:dyDescent="0.3">
      <c r="C181" s="11"/>
      <c r="D181" s="11"/>
    </row>
    <row r="182" spans="3:4" x14ac:dyDescent="0.3">
      <c r="C182" s="11"/>
      <c r="D182" s="11"/>
    </row>
    <row r="183" spans="3:4" x14ac:dyDescent="0.3">
      <c r="C183" s="11"/>
      <c r="D183" s="11"/>
    </row>
    <row r="184" spans="3:4" x14ac:dyDescent="0.3">
      <c r="C184" s="11"/>
      <c r="D184" s="11"/>
    </row>
    <row r="185" spans="3:4" x14ac:dyDescent="0.3">
      <c r="C185" s="11"/>
      <c r="D185" s="11"/>
    </row>
    <row r="186" spans="3:4" x14ac:dyDescent="0.3">
      <c r="C186" s="11"/>
      <c r="D186" s="11"/>
    </row>
    <row r="187" spans="3:4" x14ac:dyDescent="0.3">
      <c r="C187" s="11"/>
      <c r="D187" s="11"/>
    </row>
    <row r="188" spans="3:4" x14ac:dyDescent="0.3">
      <c r="C188" s="11"/>
      <c r="D188" s="11"/>
    </row>
    <row r="189" spans="3:4" x14ac:dyDescent="0.3">
      <c r="C189" s="11"/>
      <c r="D189" s="11"/>
    </row>
    <row r="190" spans="3:4" x14ac:dyDescent="0.3">
      <c r="C190" s="11"/>
      <c r="D190" s="11"/>
    </row>
    <row r="191" spans="3:4" x14ac:dyDescent="0.3">
      <c r="C191" s="11"/>
      <c r="D191" s="11"/>
    </row>
    <row r="192" spans="3:4" x14ac:dyDescent="0.3">
      <c r="C192" s="11"/>
      <c r="D192" s="11"/>
    </row>
    <row r="193" spans="3:4" x14ac:dyDescent="0.3">
      <c r="C193" s="11"/>
      <c r="D193" s="11"/>
    </row>
    <row r="194" spans="3:4" x14ac:dyDescent="0.3">
      <c r="C194" s="11"/>
      <c r="D194" s="11"/>
    </row>
    <row r="195" spans="3:4" x14ac:dyDescent="0.3">
      <c r="C195" s="11"/>
      <c r="D195" s="11"/>
    </row>
    <row r="196" spans="3:4" x14ac:dyDescent="0.3">
      <c r="C196" s="11"/>
      <c r="D196" s="11"/>
    </row>
    <row r="197" spans="3:4" x14ac:dyDescent="0.3">
      <c r="C197" s="11"/>
      <c r="D197" s="11"/>
    </row>
    <row r="198" spans="3:4" x14ac:dyDescent="0.3">
      <c r="C198" s="11"/>
      <c r="D198" s="11"/>
    </row>
    <row r="199" spans="3:4" x14ac:dyDescent="0.3">
      <c r="C199" s="11"/>
      <c r="D199" s="11"/>
    </row>
    <row r="200" spans="3:4" x14ac:dyDescent="0.3">
      <c r="C200" s="11"/>
      <c r="D200" s="11"/>
    </row>
    <row r="201" spans="3:4" x14ac:dyDescent="0.3">
      <c r="C201" s="11"/>
      <c r="D201" s="11"/>
    </row>
    <row r="202" spans="3:4" x14ac:dyDescent="0.3">
      <c r="C202" s="11"/>
      <c r="D202" s="11"/>
    </row>
    <row r="203" spans="3:4" x14ac:dyDescent="0.3">
      <c r="C203" s="11"/>
      <c r="D203" s="11"/>
    </row>
    <row r="204" spans="3:4" x14ac:dyDescent="0.3">
      <c r="C204" s="11"/>
      <c r="D204" s="11"/>
    </row>
    <row r="205" spans="3:4" x14ac:dyDescent="0.3">
      <c r="C205" s="11"/>
      <c r="D205" s="11"/>
    </row>
    <row r="206" spans="3:4" x14ac:dyDescent="0.3">
      <c r="C206" s="11"/>
      <c r="D206" s="11"/>
    </row>
    <row r="207" spans="3:4" x14ac:dyDescent="0.3">
      <c r="C207" s="11"/>
      <c r="D207" s="11"/>
    </row>
    <row r="208" spans="3:4" x14ac:dyDescent="0.3">
      <c r="C208" s="11"/>
      <c r="D208" s="11"/>
    </row>
    <row r="209" spans="3:4" x14ac:dyDescent="0.3">
      <c r="C209" s="11"/>
      <c r="D209" s="11"/>
    </row>
    <row r="210" spans="3:4" x14ac:dyDescent="0.3">
      <c r="C210" s="11"/>
      <c r="D210" s="11"/>
    </row>
    <row r="211" spans="3:4" x14ac:dyDescent="0.3">
      <c r="C211" s="11"/>
      <c r="D211" s="11"/>
    </row>
    <row r="212" spans="3:4" x14ac:dyDescent="0.3">
      <c r="C212" s="11"/>
      <c r="D212" s="11"/>
    </row>
    <row r="213" spans="3:4" x14ac:dyDescent="0.3">
      <c r="C213" s="11"/>
      <c r="D213" s="11"/>
    </row>
    <row r="214" spans="3:4" x14ac:dyDescent="0.3">
      <c r="C214" s="11"/>
      <c r="D214" s="11"/>
    </row>
    <row r="215" spans="3:4" x14ac:dyDescent="0.3">
      <c r="C215" s="11"/>
      <c r="D215" s="11"/>
    </row>
    <row r="216" spans="3:4" x14ac:dyDescent="0.3">
      <c r="C216" s="11"/>
      <c r="D216" s="11"/>
    </row>
    <row r="217" spans="3:4" x14ac:dyDescent="0.3">
      <c r="C217" s="11"/>
      <c r="D217" s="11"/>
    </row>
    <row r="218" spans="3:4" x14ac:dyDescent="0.3">
      <c r="C218" s="11"/>
      <c r="D218" s="11"/>
    </row>
    <row r="219" spans="3:4" x14ac:dyDescent="0.3">
      <c r="C219" s="11"/>
      <c r="D219" s="11"/>
    </row>
    <row r="220" spans="3:4" x14ac:dyDescent="0.3">
      <c r="C220" s="11"/>
      <c r="D220" s="11"/>
    </row>
    <row r="221" spans="3:4" x14ac:dyDescent="0.3">
      <c r="C221" s="11"/>
      <c r="D221" s="11"/>
    </row>
    <row r="222" spans="3:4" x14ac:dyDescent="0.3">
      <c r="C222" s="11"/>
      <c r="D222" s="11"/>
    </row>
    <row r="223" spans="3:4" x14ac:dyDescent="0.3">
      <c r="C223" s="11"/>
      <c r="D223" s="11"/>
    </row>
    <row r="224" spans="3:4" x14ac:dyDescent="0.3">
      <c r="C224" s="11"/>
      <c r="D224" s="11"/>
    </row>
    <row r="225" spans="3:4" x14ac:dyDescent="0.3">
      <c r="C225" s="11"/>
      <c r="D225" s="11"/>
    </row>
    <row r="226" spans="3:4" x14ac:dyDescent="0.3">
      <c r="C226" s="11"/>
      <c r="D226" s="11"/>
    </row>
    <row r="227" spans="3:4" x14ac:dyDescent="0.3">
      <c r="C227" s="11"/>
      <c r="D227" s="11"/>
    </row>
    <row r="228" spans="3:4" x14ac:dyDescent="0.3">
      <c r="C228" s="11"/>
      <c r="D228" s="11"/>
    </row>
    <row r="229" spans="3:4" x14ac:dyDescent="0.3">
      <c r="C229" s="11"/>
      <c r="D229" s="11"/>
    </row>
    <row r="230" spans="3:4" x14ac:dyDescent="0.3">
      <c r="C230" s="11"/>
      <c r="D230" s="11"/>
    </row>
    <row r="231" spans="3:4" x14ac:dyDescent="0.3">
      <c r="C231" s="11"/>
      <c r="D231" s="11"/>
    </row>
    <row r="232" spans="3:4" x14ac:dyDescent="0.3">
      <c r="C232" s="11"/>
      <c r="D232" s="11"/>
    </row>
    <row r="233" spans="3:4" x14ac:dyDescent="0.3">
      <c r="C233" s="11"/>
      <c r="D233" s="11"/>
    </row>
    <row r="234" spans="3:4" x14ac:dyDescent="0.3">
      <c r="C234" s="11"/>
      <c r="D234" s="11"/>
    </row>
    <row r="235" spans="3:4" x14ac:dyDescent="0.3">
      <c r="C235" s="11"/>
      <c r="D235" s="11"/>
    </row>
    <row r="236" spans="3:4" x14ac:dyDescent="0.3">
      <c r="C236" s="11"/>
      <c r="D236" s="11"/>
    </row>
    <row r="237" spans="3:4" x14ac:dyDescent="0.3">
      <c r="C237" s="11"/>
      <c r="D237" s="11"/>
    </row>
    <row r="238" spans="3:4" x14ac:dyDescent="0.3">
      <c r="C238" s="11"/>
      <c r="D238" s="11"/>
    </row>
    <row r="239" spans="3:4" x14ac:dyDescent="0.3">
      <c r="C239" s="11"/>
      <c r="D239" s="11"/>
    </row>
    <row r="240" spans="3:4" x14ac:dyDescent="0.3">
      <c r="C240" s="11"/>
      <c r="D240" s="11"/>
    </row>
    <row r="241" spans="3:4" x14ac:dyDescent="0.3">
      <c r="C241" s="11"/>
      <c r="D241" s="11"/>
    </row>
    <row r="242" spans="3:4" x14ac:dyDescent="0.3">
      <c r="C242" s="11"/>
      <c r="D242" s="11"/>
    </row>
    <row r="243" spans="3:4" x14ac:dyDescent="0.3">
      <c r="C243" s="11"/>
      <c r="D243" s="11"/>
    </row>
    <row r="244" spans="3:4" x14ac:dyDescent="0.3">
      <c r="C244" s="11"/>
      <c r="D244" s="11"/>
    </row>
    <row r="245" spans="3:4" x14ac:dyDescent="0.3">
      <c r="C245" s="11"/>
      <c r="D245" s="11"/>
    </row>
    <row r="246" spans="3:4" x14ac:dyDescent="0.3">
      <c r="C246" s="11"/>
      <c r="D246" s="11"/>
    </row>
    <row r="247" spans="3:4" x14ac:dyDescent="0.3">
      <c r="C247" s="11"/>
      <c r="D247" s="11"/>
    </row>
    <row r="248" spans="3:4" x14ac:dyDescent="0.3">
      <c r="C248" s="11"/>
      <c r="D248" s="11"/>
    </row>
    <row r="249" spans="3:4" x14ac:dyDescent="0.3">
      <c r="C249" s="11"/>
      <c r="D249" s="11"/>
    </row>
    <row r="250" spans="3:4" x14ac:dyDescent="0.3">
      <c r="C250" s="11"/>
      <c r="D250" s="11"/>
    </row>
    <row r="251" spans="3:4" x14ac:dyDescent="0.3">
      <c r="C251" s="11"/>
      <c r="D251" s="11"/>
    </row>
    <row r="252" spans="3:4" x14ac:dyDescent="0.3">
      <c r="C252" s="11"/>
      <c r="D252" s="11"/>
    </row>
    <row r="253" spans="3:4" x14ac:dyDescent="0.3">
      <c r="C253" s="11"/>
      <c r="D253" s="11"/>
    </row>
    <row r="254" spans="3:4" x14ac:dyDescent="0.3">
      <c r="C254" s="11"/>
      <c r="D254" s="11"/>
    </row>
    <row r="255" spans="3:4" x14ac:dyDescent="0.3">
      <c r="C255" s="11"/>
      <c r="D255" s="11"/>
    </row>
    <row r="256" spans="3:4" x14ac:dyDescent="0.3">
      <c r="C256" s="11"/>
      <c r="D256" s="11"/>
    </row>
    <row r="257" spans="3:4" x14ac:dyDescent="0.3">
      <c r="C257" s="11"/>
      <c r="D257" s="11"/>
    </row>
    <row r="258" spans="3:4" x14ac:dyDescent="0.3">
      <c r="C258" s="11"/>
      <c r="D258" s="11"/>
    </row>
    <row r="259" spans="3:4" x14ac:dyDescent="0.3">
      <c r="C259" s="11"/>
      <c r="D259" s="11"/>
    </row>
    <row r="260" spans="3:4" x14ac:dyDescent="0.3">
      <c r="C260" s="11"/>
      <c r="D260" s="11"/>
    </row>
    <row r="261" spans="3:4" x14ac:dyDescent="0.3">
      <c r="C261" s="11"/>
      <c r="D261" s="11"/>
    </row>
    <row r="262" spans="3:4" x14ac:dyDescent="0.3">
      <c r="C262" s="11"/>
      <c r="D262" s="11"/>
    </row>
    <row r="263" spans="3:4" x14ac:dyDescent="0.3">
      <c r="C263" s="11"/>
      <c r="D263" s="11"/>
    </row>
    <row r="264" spans="3:4" x14ac:dyDescent="0.3">
      <c r="C264" s="11"/>
      <c r="D264" s="11"/>
    </row>
    <row r="265" spans="3:4" x14ac:dyDescent="0.3">
      <c r="C265" s="11"/>
      <c r="D265" s="11"/>
    </row>
    <row r="266" spans="3:4" x14ac:dyDescent="0.3">
      <c r="C266" s="11"/>
      <c r="D266" s="11"/>
    </row>
    <row r="267" spans="3:4" x14ac:dyDescent="0.3">
      <c r="C267" s="11"/>
      <c r="D267" s="11"/>
    </row>
    <row r="268" spans="3:4" x14ac:dyDescent="0.3">
      <c r="C268" s="11"/>
      <c r="D268" s="11"/>
    </row>
    <row r="269" spans="3:4" x14ac:dyDescent="0.3">
      <c r="C269" s="11"/>
      <c r="D269" s="11"/>
    </row>
    <row r="270" spans="3:4" x14ac:dyDescent="0.3">
      <c r="C270" s="11"/>
      <c r="D270" s="11"/>
    </row>
    <row r="271" spans="3:4" x14ac:dyDescent="0.3">
      <c r="C271" s="11"/>
      <c r="D271" s="11"/>
    </row>
    <row r="272" spans="3:4" x14ac:dyDescent="0.3">
      <c r="C272" s="11"/>
      <c r="D272" s="11"/>
    </row>
    <row r="273" spans="3:4" x14ac:dyDescent="0.3">
      <c r="C273" s="11"/>
      <c r="D273" s="11"/>
    </row>
    <row r="274" spans="3:4" x14ac:dyDescent="0.3">
      <c r="C274" s="11"/>
      <c r="D274" s="11"/>
    </row>
    <row r="275" spans="3:4" x14ac:dyDescent="0.3">
      <c r="C275" s="11"/>
      <c r="D275" s="11"/>
    </row>
    <row r="276" spans="3:4" x14ac:dyDescent="0.3">
      <c r="C276" s="11"/>
      <c r="D276" s="11"/>
    </row>
    <row r="277" spans="3:4" x14ac:dyDescent="0.3">
      <c r="C277" s="11"/>
      <c r="D277" s="11"/>
    </row>
    <row r="278" spans="3:4" x14ac:dyDescent="0.3">
      <c r="C278" s="11"/>
      <c r="D278" s="11"/>
    </row>
    <row r="279" spans="3:4" x14ac:dyDescent="0.3">
      <c r="C279" s="11"/>
      <c r="D279" s="11"/>
    </row>
    <row r="280" spans="3:4" x14ac:dyDescent="0.3">
      <c r="C280" s="11"/>
      <c r="D280" s="11"/>
    </row>
    <row r="281" spans="3:4" x14ac:dyDescent="0.3">
      <c r="C281" s="11"/>
      <c r="D281" s="11"/>
    </row>
    <row r="282" spans="3:4" x14ac:dyDescent="0.3">
      <c r="C282" s="11"/>
      <c r="D282" s="11"/>
    </row>
    <row r="283" spans="3:4" x14ac:dyDescent="0.3">
      <c r="C283" s="11"/>
      <c r="D283" s="11"/>
    </row>
    <row r="284" spans="3:4" x14ac:dyDescent="0.3">
      <c r="C284" s="11"/>
      <c r="D284" s="11"/>
    </row>
    <row r="285" spans="3:4" x14ac:dyDescent="0.3">
      <c r="C285" s="11"/>
      <c r="D285" s="11"/>
    </row>
    <row r="286" spans="3:4" x14ac:dyDescent="0.3">
      <c r="C286" s="11"/>
      <c r="D286" s="11"/>
    </row>
    <row r="287" spans="3:4" x14ac:dyDescent="0.3">
      <c r="C287" s="11"/>
      <c r="D287" s="11"/>
    </row>
    <row r="288" spans="3:4" x14ac:dyDescent="0.3">
      <c r="C288" s="11"/>
      <c r="D288" s="11"/>
    </row>
    <row r="289" spans="3:4" x14ac:dyDescent="0.3">
      <c r="C289" s="11"/>
      <c r="D289" s="11"/>
    </row>
    <row r="290" spans="3:4" x14ac:dyDescent="0.3">
      <c r="C290" s="11"/>
      <c r="D290" s="11"/>
    </row>
    <row r="291" spans="3:4" x14ac:dyDescent="0.3">
      <c r="C291" s="11"/>
      <c r="D291" s="11"/>
    </row>
    <row r="292" spans="3:4" x14ac:dyDescent="0.3">
      <c r="C292" s="11"/>
      <c r="D292" s="11"/>
    </row>
    <row r="293" spans="3:4" x14ac:dyDescent="0.3">
      <c r="C293" s="11"/>
      <c r="D293" s="11"/>
    </row>
    <row r="294" spans="3:4" x14ac:dyDescent="0.3">
      <c r="C294" s="11"/>
      <c r="D294" s="11"/>
    </row>
    <row r="295" spans="3:4" x14ac:dyDescent="0.3">
      <c r="C295" s="11"/>
      <c r="D295" s="11"/>
    </row>
    <row r="296" spans="3:4" x14ac:dyDescent="0.3">
      <c r="C296" s="11"/>
      <c r="D296" s="11"/>
    </row>
    <row r="297" spans="3:4" x14ac:dyDescent="0.3">
      <c r="C297" s="11"/>
      <c r="D297" s="11"/>
    </row>
    <row r="298" spans="3:4" x14ac:dyDescent="0.3">
      <c r="C298" s="11"/>
      <c r="D298" s="11"/>
    </row>
    <row r="299" spans="3:4" x14ac:dyDescent="0.3">
      <c r="C299" s="11"/>
      <c r="D299" s="11"/>
    </row>
    <row r="300" spans="3:4" x14ac:dyDescent="0.3">
      <c r="C300" s="11"/>
      <c r="D300" s="11"/>
    </row>
    <row r="301" spans="3:4" x14ac:dyDescent="0.3">
      <c r="C301" s="11"/>
      <c r="D301" s="11"/>
    </row>
    <row r="302" spans="3:4" x14ac:dyDescent="0.3">
      <c r="C302" s="11"/>
      <c r="D302" s="11"/>
    </row>
    <row r="303" spans="3:4" x14ac:dyDescent="0.3">
      <c r="C303" s="11"/>
      <c r="D303" s="11"/>
    </row>
    <row r="304" spans="3:4" x14ac:dyDescent="0.3">
      <c r="C304" s="11"/>
      <c r="D304" s="11"/>
    </row>
    <row r="305" spans="3:4" x14ac:dyDescent="0.3">
      <c r="C305" s="11"/>
      <c r="D305" s="11"/>
    </row>
    <row r="306" spans="3:4" x14ac:dyDescent="0.3">
      <c r="C306" s="11"/>
      <c r="D306" s="11"/>
    </row>
    <row r="307" spans="3:4" x14ac:dyDescent="0.3">
      <c r="C307" s="11"/>
      <c r="D307" s="11"/>
    </row>
    <row r="308" spans="3:4" x14ac:dyDescent="0.3">
      <c r="C308" s="11"/>
      <c r="D308" s="11"/>
    </row>
    <row r="309" spans="3:4" x14ac:dyDescent="0.3">
      <c r="C309" s="11"/>
      <c r="D309" s="11"/>
    </row>
    <row r="310" spans="3:4" x14ac:dyDescent="0.3">
      <c r="C310" s="11"/>
      <c r="D310" s="11"/>
    </row>
    <row r="311" spans="3:4" x14ac:dyDescent="0.3">
      <c r="C311" s="11"/>
      <c r="D311" s="11"/>
    </row>
    <row r="312" spans="3:4" x14ac:dyDescent="0.3">
      <c r="C312" s="11"/>
      <c r="D312" s="11"/>
    </row>
    <row r="313" spans="3:4" x14ac:dyDescent="0.3">
      <c r="C313" s="11"/>
      <c r="D313" s="11"/>
    </row>
    <row r="314" spans="3:4" x14ac:dyDescent="0.3">
      <c r="C314" s="11"/>
      <c r="D314" s="11"/>
    </row>
    <row r="315" spans="3:4" x14ac:dyDescent="0.3">
      <c r="C315" s="11"/>
      <c r="D315" s="11"/>
    </row>
    <row r="316" spans="3:4" x14ac:dyDescent="0.3">
      <c r="C316" s="11"/>
      <c r="D316" s="11"/>
    </row>
    <row r="317" spans="3:4" x14ac:dyDescent="0.3">
      <c r="C317" s="11"/>
      <c r="D317" s="11"/>
    </row>
    <row r="318" spans="3:4" x14ac:dyDescent="0.3">
      <c r="C318" s="11"/>
      <c r="D318" s="11"/>
    </row>
    <row r="319" spans="3:4" x14ac:dyDescent="0.3">
      <c r="C319" s="11"/>
      <c r="D319" s="11"/>
    </row>
    <row r="320" spans="3:4" x14ac:dyDescent="0.3">
      <c r="C320" s="11"/>
      <c r="D320" s="11"/>
    </row>
    <row r="321" spans="3:4" x14ac:dyDescent="0.3">
      <c r="C321" s="11"/>
      <c r="D321" s="11"/>
    </row>
    <row r="322" spans="3:4" x14ac:dyDescent="0.3">
      <c r="C322" s="11"/>
      <c r="D322" s="11"/>
    </row>
    <row r="323" spans="3:4" x14ac:dyDescent="0.3">
      <c r="C323" s="11"/>
      <c r="D323" s="11"/>
    </row>
    <row r="324" spans="3:4" x14ac:dyDescent="0.3">
      <c r="C324" s="11"/>
      <c r="D324" s="11"/>
    </row>
    <row r="325" spans="3:4" x14ac:dyDescent="0.3">
      <c r="C325" s="11"/>
      <c r="D325" s="11"/>
    </row>
    <row r="326" spans="3:4" x14ac:dyDescent="0.3">
      <c r="C326" s="11"/>
      <c r="D326" s="11"/>
    </row>
    <row r="327" spans="3:4" x14ac:dyDescent="0.3">
      <c r="C327" s="11"/>
      <c r="D327" s="11"/>
    </row>
    <row r="328" spans="3:4" x14ac:dyDescent="0.3">
      <c r="C328" s="11"/>
      <c r="D328" s="11"/>
    </row>
    <row r="329" spans="3:4" x14ac:dyDescent="0.3">
      <c r="C329" s="11"/>
      <c r="D329" s="11"/>
    </row>
    <row r="330" spans="3:4" x14ac:dyDescent="0.3">
      <c r="C330" s="11"/>
      <c r="D330" s="11"/>
    </row>
    <row r="331" spans="3:4" x14ac:dyDescent="0.3">
      <c r="C331" s="11"/>
      <c r="D331" s="11"/>
    </row>
    <row r="332" spans="3:4" x14ac:dyDescent="0.3">
      <c r="C332" s="11"/>
      <c r="D332" s="11"/>
    </row>
    <row r="333" spans="3:4" x14ac:dyDescent="0.3">
      <c r="C333" s="11"/>
      <c r="D333" s="11"/>
    </row>
    <row r="334" spans="3:4" x14ac:dyDescent="0.3">
      <c r="C334" s="11"/>
      <c r="D334" s="11"/>
    </row>
    <row r="335" spans="3:4" x14ac:dyDescent="0.3">
      <c r="C335" s="11"/>
      <c r="D335" s="11"/>
    </row>
    <row r="336" spans="3:4" x14ac:dyDescent="0.3">
      <c r="C336" s="11"/>
      <c r="D336" s="11"/>
    </row>
    <row r="337" spans="3:4" x14ac:dyDescent="0.3">
      <c r="C337" s="11"/>
      <c r="D337" s="11"/>
    </row>
    <row r="338" spans="3:4" x14ac:dyDescent="0.3">
      <c r="C338" s="11"/>
      <c r="D338" s="11"/>
    </row>
    <row r="339" spans="3:4" x14ac:dyDescent="0.3">
      <c r="C339" s="11"/>
      <c r="D339" s="11"/>
    </row>
    <row r="340" spans="3:4" x14ac:dyDescent="0.3">
      <c r="C340" s="11"/>
      <c r="D340" s="11"/>
    </row>
    <row r="341" spans="3:4" x14ac:dyDescent="0.3">
      <c r="C341" s="11"/>
      <c r="D341" s="11"/>
    </row>
    <row r="342" spans="3:4" x14ac:dyDescent="0.3">
      <c r="C342" s="11"/>
      <c r="D342" s="11"/>
    </row>
    <row r="343" spans="3:4" x14ac:dyDescent="0.3">
      <c r="C343" s="11"/>
      <c r="D343" s="11"/>
    </row>
    <row r="344" spans="3:4" x14ac:dyDescent="0.3">
      <c r="C344" s="11"/>
      <c r="D344" s="11"/>
    </row>
    <row r="345" spans="3:4" x14ac:dyDescent="0.3">
      <c r="C345" s="11"/>
      <c r="D345" s="11"/>
    </row>
    <row r="346" spans="3:4" x14ac:dyDescent="0.3">
      <c r="C346" s="11"/>
      <c r="D346" s="11"/>
    </row>
    <row r="347" spans="3:4" x14ac:dyDescent="0.3">
      <c r="C347" s="11"/>
      <c r="D347" s="11"/>
    </row>
    <row r="348" spans="3:4" x14ac:dyDescent="0.3">
      <c r="C348" s="11"/>
      <c r="D348" s="11"/>
    </row>
    <row r="349" spans="3:4" x14ac:dyDescent="0.3">
      <c r="C349" s="11"/>
      <c r="D349" s="11"/>
    </row>
    <row r="350" spans="3:4" x14ac:dyDescent="0.3">
      <c r="C350" s="11"/>
      <c r="D350" s="11"/>
    </row>
    <row r="351" spans="3:4" x14ac:dyDescent="0.3">
      <c r="C351" s="11"/>
      <c r="D351" s="11"/>
    </row>
    <row r="352" spans="3:4" x14ac:dyDescent="0.3">
      <c r="C352" s="11"/>
      <c r="D352" s="11"/>
    </row>
    <row r="353" spans="3:4" x14ac:dyDescent="0.3">
      <c r="C353" s="11"/>
      <c r="D353" s="11"/>
    </row>
    <row r="354" spans="3:4" x14ac:dyDescent="0.3">
      <c r="C354" s="11"/>
      <c r="D354" s="11"/>
    </row>
    <row r="355" spans="3:4" x14ac:dyDescent="0.3">
      <c r="C355" s="11"/>
      <c r="D355" s="11"/>
    </row>
    <row r="356" spans="3:4" x14ac:dyDescent="0.3">
      <c r="C356" s="11"/>
      <c r="D356" s="11"/>
    </row>
    <row r="357" spans="3:4" x14ac:dyDescent="0.3">
      <c r="C357" s="11"/>
      <c r="D357" s="11"/>
    </row>
    <row r="358" spans="3:4" x14ac:dyDescent="0.3">
      <c r="C358" s="11"/>
      <c r="D358" s="11"/>
    </row>
    <row r="359" spans="3:4" x14ac:dyDescent="0.3">
      <c r="C359" s="11"/>
      <c r="D359" s="11"/>
    </row>
    <row r="360" spans="3:4" x14ac:dyDescent="0.3">
      <c r="C360" s="11"/>
      <c r="D360" s="11"/>
    </row>
    <row r="361" spans="3:4" x14ac:dyDescent="0.3">
      <c r="C361" s="11"/>
      <c r="D361" s="11"/>
    </row>
    <row r="362" spans="3:4" x14ac:dyDescent="0.3">
      <c r="C362" s="11"/>
      <c r="D362" s="11"/>
    </row>
    <row r="363" spans="3:4" x14ac:dyDescent="0.3">
      <c r="C363" s="11"/>
      <c r="D363" s="11"/>
    </row>
    <row r="364" spans="3:4" x14ac:dyDescent="0.3">
      <c r="C364" s="11"/>
      <c r="D364" s="11"/>
    </row>
    <row r="365" spans="3:4" x14ac:dyDescent="0.3">
      <c r="C365" s="11"/>
      <c r="D365" s="11"/>
    </row>
    <row r="366" spans="3:4" x14ac:dyDescent="0.3">
      <c r="C366" s="11"/>
      <c r="D366" s="11"/>
    </row>
    <row r="367" spans="3:4" x14ac:dyDescent="0.3">
      <c r="C367" s="11"/>
      <c r="D367" s="11"/>
    </row>
    <row r="368" spans="3:4" x14ac:dyDescent="0.3">
      <c r="C368" s="11"/>
      <c r="D368" s="11"/>
    </row>
    <row r="369" spans="3:4" x14ac:dyDescent="0.3">
      <c r="C369" s="11"/>
      <c r="D369" s="11"/>
    </row>
    <row r="370" spans="3:4" x14ac:dyDescent="0.3">
      <c r="C370" s="11"/>
      <c r="D370" s="11"/>
    </row>
    <row r="371" spans="3:4" x14ac:dyDescent="0.3">
      <c r="C371" s="11"/>
      <c r="D371" s="11"/>
    </row>
    <row r="372" spans="3:4" x14ac:dyDescent="0.3">
      <c r="C372" s="11"/>
      <c r="D372" s="11"/>
    </row>
    <row r="373" spans="3:4" x14ac:dyDescent="0.3">
      <c r="C373" s="11"/>
      <c r="D373" s="11"/>
    </row>
    <row r="374" spans="3:4" x14ac:dyDescent="0.3">
      <c r="C374" s="11"/>
      <c r="D374" s="11"/>
    </row>
    <row r="375" spans="3:4" x14ac:dyDescent="0.3">
      <c r="C375" s="11"/>
      <c r="D375" s="11"/>
    </row>
    <row r="376" spans="3:4" x14ac:dyDescent="0.3">
      <c r="C376" s="11"/>
      <c r="D376" s="11"/>
    </row>
    <row r="377" spans="3:4" x14ac:dyDescent="0.3">
      <c r="C377" s="11"/>
      <c r="D377" s="11"/>
    </row>
    <row r="378" spans="3:4" x14ac:dyDescent="0.3">
      <c r="C378" s="11"/>
      <c r="D378" s="11"/>
    </row>
    <row r="379" spans="3:4" x14ac:dyDescent="0.3">
      <c r="C379" s="11"/>
      <c r="D379" s="11"/>
    </row>
    <row r="380" spans="3:4" x14ac:dyDescent="0.3">
      <c r="C380" s="11"/>
      <c r="D380" s="11"/>
    </row>
    <row r="381" spans="3:4" x14ac:dyDescent="0.3">
      <c r="C381" s="11"/>
      <c r="D381" s="11"/>
    </row>
    <row r="382" spans="3:4" x14ac:dyDescent="0.3">
      <c r="C382" s="11"/>
      <c r="D382" s="11"/>
    </row>
    <row r="383" spans="3:4" x14ac:dyDescent="0.3">
      <c r="C383" s="11"/>
      <c r="D383" s="11"/>
    </row>
    <row r="384" spans="3:4" x14ac:dyDescent="0.3">
      <c r="C384" s="11"/>
      <c r="D384" s="11"/>
    </row>
    <row r="385" spans="3:4" x14ac:dyDescent="0.3">
      <c r="C385" s="11"/>
      <c r="D385" s="11"/>
    </row>
    <row r="386" spans="3:4" x14ac:dyDescent="0.3">
      <c r="C386" s="11"/>
      <c r="D386" s="11"/>
    </row>
    <row r="387" spans="3:4" x14ac:dyDescent="0.3">
      <c r="C387" s="11"/>
      <c r="D387" s="11"/>
    </row>
    <row r="388" spans="3:4" x14ac:dyDescent="0.3">
      <c r="C388" s="11"/>
      <c r="D388" s="11"/>
    </row>
    <row r="389" spans="3:4" x14ac:dyDescent="0.3">
      <c r="C389" s="11"/>
      <c r="D389" s="11"/>
    </row>
    <row r="390" spans="3:4" x14ac:dyDescent="0.3">
      <c r="C390" s="11"/>
      <c r="D390" s="11"/>
    </row>
    <row r="391" spans="3:4" x14ac:dyDescent="0.3">
      <c r="C391" s="11"/>
      <c r="D391" s="11"/>
    </row>
    <row r="392" spans="3:4" x14ac:dyDescent="0.3">
      <c r="C392" s="11"/>
      <c r="D392" s="11"/>
    </row>
    <row r="393" spans="3:4" x14ac:dyDescent="0.3">
      <c r="C393" s="11"/>
      <c r="D393" s="11"/>
    </row>
    <row r="394" spans="3:4" x14ac:dyDescent="0.3">
      <c r="C394" s="11"/>
      <c r="D394" s="11"/>
    </row>
    <row r="395" spans="3:4" x14ac:dyDescent="0.3">
      <c r="C395" s="11"/>
      <c r="D395" s="11"/>
    </row>
    <row r="396" spans="3:4" x14ac:dyDescent="0.3">
      <c r="C396" s="11"/>
      <c r="D396" s="11"/>
    </row>
    <row r="397" spans="3:4" x14ac:dyDescent="0.3">
      <c r="C397" s="11"/>
      <c r="D397" s="11"/>
    </row>
    <row r="398" spans="3:4" x14ac:dyDescent="0.3">
      <c r="C398" s="11"/>
      <c r="D398" s="11"/>
    </row>
    <row r="399" spans="3:4" x14ac:dyDescent="0.3">
      <c r="C399" s="11"/>
      <c r="D399" s="11"/>
    </row>
    <row r="400" spans="3:4" x14ac:dyDescent="0.3">
      <c r="C400" s="11"/>
      <c r="D400" s="11"/>
    </row>
    <row r="401" spans="3:4" x14ac:dyDescent="0.3">
      <c r="C401" s="11"/>
      <c r="D401" s="11"/>
    </row>
    <row r="402" spans="3:4" x14ac:dyDescent="0.3">
      <c r="C402" s="11"/>
      <c r="D402" s="11"/>
    </row>
    <row r="403" spans="3:4" x14ac:dyDescent="0.3">
      <c r="C403" s="11"/>
      <c r="D403" s="11"/>
    </row>
    <row r="404" spans="3:4" x14ac:dyDescent="0.3">
      <c r="C404" s="11"/>
      <c r="D404" s="11"/>
    </row>
    <row r="405" spans="3:4" x14ac:dyDescent="0.3">
      <c r="C405" s="11"/>
      <c r="D405" s="11"/>
    </row>
    <row r="406" spans="3:4" x14ac:dyDescent="0.3">
      <c r="C406" s="11"/>
      <c r="D406" s="11"/>
    </row>
    <row r="407" spans="3:4" x14ac:dyDescent="0.3">
      <c r="C407" s="11"/>
      <c r="D407" s="11"/>
    </row>
    <row r="408" spans="3:4" x14ac:dyDescent="0.3">
      <c r="C408" s="11"/>
      <c r="D408" s="11"/>
    </row>
    <row r="409" spans="3:4" x14ac:dyDescent="0.3">
      <c r="C409" s="11"/>
      <c r="D409" s="11"/>
    </row>
    <row r="410" spans="3:4" x14ac:dyDescent="0.3">
      <c r="C410" s="11"/>
      <c r="D410" s="11"/>
    </row>
    <row r="411" spans="3:4" x14ac:dyDescent="0.3">
      <c r="C411" s="11"/>
      <c r="D411" s="11"/>
    </row>
    <row r="412" spans="3:4" x14ac:dyDescent="0.3">
      <c r="C412" s="11"/>
      <c r="D412" s="11"/>
    </row>
    <row r="413" spans="3:4" x14ac:dyDescent="0.3">
      <c r="C413" s="11"/>
      <c r="D413" s="11"/>
    </row>
    <row r="414" spans="3:4" x14ac:dyDescent="0.3">
      <c r="C414" s="11"/>
      <c r="D414" s="11"/>
    </row>
    <row r="415" spans="3:4" x14ac:dyDescent="0.3">
      <c r="C415" s="11"/>
      <c r="D415" s="11"/>
    </row>
    <row r="416" spans="3:4" x14ac:dyDescent="0.3">
      <c r="C416" s="11"/>
      <c r="D416" s="11"/>
    </row>
    <row r="417" spans="3:4" x14ac:dyDescent="0.3">
      <c r="C417" s="11"/>
      <c r="D417" s="11"/>
    </row>
    <row r="418" spans="3:4" x14ac:dyDescent="0.3">
      <c r="C418" s="11"/>
      <c r="D418" s="11"/>
    </row>
    <row r="419" spans="3:4" x14ac:dyDescent="0.3">
      <c r="C419" s="11"/>
      <c r="D419" s="11"/>
    </row>
    <row r="420" spans="3:4" x14ac:dyDescent="0.3">
      <c r="C420" s="11"/>
      <c r="D420" s="11"/>
    </row>
    <row r="421" spans="3:4" x14ac:dyDescent="0.3">
      <c r="C421" s="11"/>
      <c r="D421" s="11"/>
    </row>
    <row r="422" spans="3:4" x14ac:dyDescent="0.3">
      <c r="C422" s="11"/>
      <c r="D422" s="11"/>
    </row>
    <row r="423" spans="3:4" x14ac:dyDescent="0.3">
      <c r="C423" s="11"/>
      <c r="D423" s="11"/>
    </row>
    <row r="424" spans="3:4" x14ac:dyDescent="0.3">
      <c r="C424" s="11"/>
      <c r="D424" s="11"/>
    </row>
    <row r="425" spans="3:4" x14ac:dyDescent="0.3">
      <c r="C425" s="11"/>
      <c r="D425" s="11"/>
    </row>
    <row r="426" spans="3:4" x14ac:dyDescent="0.3">
      <c r="C426" s="11"/>
      <c r="D426" s="11"/>
    </row>
    <row r="427" spans="3:4" x14ac:dyDescent="0.3">
      <c r="C427" s="11"/>
      <c r="D427" s="11"/>
    </row>
    <row r="428" spans="3:4" x14ac:dyDescent="0.3">
      <c r="C428" s="11"/>
      <c r="D428" s="11"/>
    </row>
    <row r="429" spans="3:4" x14ac:dyDescent="0.3">
      <c r="C429" s="11"/>
      <c r="D429" s="11"/>
    </row>
    <row r="430" spans="3:4" x14ac:dyDescent="0.3">
      <c r="C430" s="11"/>
      <c r="D430" s="11"/>
    </row>
    <row r="431" spans="3:4" x14ac:dyDescent="0.3">
      <c r="C431" s="11"/>
      <c r="D431" s="11"/>
    </row>
    <row r="432" spans="3:4" x14ac:dyDescent="0.3">
      <c r="C432" s="11"/>
      <c r="D432" s="11"/>
    </row>
    <row r="433" spans="3:4" x14ac:dyDescent="0.3">
      <c r="C433" s="11"/>
      <c r="D433" s="11"/>
    </row>
    <row r="434" spans="3:4" x14ac:dyDescent="0.3">
      <c r="C434" s="11"/>
      <c r="D434" s="11"/>
    </row>
    <row r="435" spans="3:4" x14ac:dyDescent="0.3">
      <c r="C435" s="11"/>
      <c r="D435" s="11"/>
    </row>
    <row r="436" spans="3:4" x14ac:dyDescent="0.3">
      <c r="C436" s="11"/>
      <c r="D436" s="11"/>
    </row>
    <row r="437" spans="3:4" x14ac:dyDescent="0.3">
      <c r="C437" s="11"/>
      <c r="D437" s="11"/>
    </row>
    <row r="438" spans="3:4" x14ac:dyDescent="0.3">
      <c r="C438" s="11"/>
      <c r="D438" s="11"/>
    </row>
    <row r="439" spans="3:4" x14ac:dyDescent="0.3">
      <c r="C439" s="11"/>
      <c r="D439" s="11"/>
    </row>
    <row r="440" spans="3:4" x14ac:dyDescent="0.3">
      <c r="C440" s="11"/>
      <c r="D440" s="11"/>
    </row>
    <row r="441" spans="3:4" x14ac:dyDescent="0.3">
      <c r="C441" s="11"/>
      <c r="D441" s="11"/>
    </row>
    <row r="442" spans="3:4" x14ac:dyDescent="0.3">
      <c r="C442" s="11"/>
      <c r="D442" s="11"/>
    </row>
    <row r="443" spans="3:4" x14ac:dyDescent="0.3">
      <c r="C443" s="11"/>
      <c r="D443" s="11"/>
    </row>
    <row r="444" spans="3:4" x14ac:dyDescent="0.3">
      <c r="C444" s="11"/>
      <c r="D444" s="11"/>
    </row>
    <row r="445" spans="3:4" x14ac:dyDescent="0.3">
      <c r="C445" s="11"/>
      <c r="D445" s="11"/>
    </row>
    <row r="446" spans="3:4" x14ac:dyDescent="0.3">
      <c r="C446" s="11"/>
      <c r="D446" s="11"/>
    </row>
    <row r="447" spans="3:4" x14ac:dyDescent="0.3">
      <c r="C447" s="11"/>
      <c r="D447" s="11"/>
    </row>
    <row r="448" spans="3:4" x14ac:dyDescent="0.3">
      <c r="C448" s="11"/>
      <c r="D448" s="11"/>
    </row>
    <row r="449" spans="3:4" x14ac:dyDescent="0.3">
      <c r="C449" s="11"/>
      <c r="D449" s="11"/>
    </row>
    <row r="450" spans="3:4" x14ac:dyDescent="0.3">
      <c r="C450" s="11"/>
      <c r="D450" s="11"/>
    </row>
    <row r="451" spans="3:4" x14ac:dyDescent="0.3">
      <c r="C451" s="11"/>
      <c r="D451" s="11"/>
    </row>
    <row r="452" spans="3:4" x14ac:dyDescent="0.3">
      <c r="C452" s="11"/>
      <c r="D452" s="11"/>
    </row>
    <row r="453" spans="3:4" x14ac:dyDescent="0.3">
      <c r="C453" s="11"/>
      <c r="D453" s="11"/>
    </row>
    <row r="454" spans="3:4" x14ac:dyDescent="0.3">
      <c r="C454" s="11"/>
      <c r="D454" s="11"/>
    </row>
    <row r="455" spans="3:4" x14ac:dyDescent="0.3">
      <c r="C455" s="11"/>
      <c r="D455" s="11"/>
    </row>
    <row r="456" spans="3:4" x14ac:dyDescent="0.3">
      <c r="C456" s="11"/>
      <c r="D456" s="11"/>
    </row>
    <row r="457" spans="3:4" x14ac:dyDescent="0.3">
      <c r="C457" s="11"/>
      <c r="D457" s="11"/>
    </row>
    <row r="458" spans="3:4" x14ac:dyDescent="0.3">
      <c r="C458" s="11"/>
      <c r="D458" s="11"/>
    </row>
    <row r="459" spans="3:4" x14ac:dyDescent="0.3">
      <c r="C459" s="11"/>
      <c r="D459" s="11"/>
    </row>
    <row r="460" spans="3:4" x14ac:dyDescent="0.3">
      <c r="C460" s="11"/>
      <c r="D460" s="11"/>
    </row>
    <row r="461" spans="3:4" x14ac:dyDescent="0.3">
      <c r="C461" s="11"/>
      <c r="D461" s="11"/>
    </row>
    <row r="462" spans="3:4" x14ac:dyDescent="0.3">
      <c r="C462" s="11"/>
      <c r="D462" s="11"/>
    </row>
    <row r="463" spans="3:4" x14ac:dyDescent="0.3">
      <c r="C463" s="11"/>
      <c r="D463" s="11"/>
    </row>
    <row r="464" spans="3:4" x14ac:dyDescent="0.3">
      <c r="C464" s="11"/>
      <c r="D464" s="11"/>
    </row>
    <row r="465" spans="3:4" x14ac:dyDescent="0.3">
      <c r="C465" s="11"/>
      <c r="D465" s="11"/>
    </row>
    <row r="466" spans="3:4" x14ac:dyDescent="0.3">
      <c r="C466" s="11"/>
      <c r="D466" s="11"/>
    </row>
    <row r="467" spans="3:4" x14ac:dyDescent="0.3">
      <c r="C467" s="11"/>
      <c r="D467" s="11"/>
    </row>
    <row r="468" spans="3:4" x14ac:dyDescent="0.3">
      <c r="C468" s="11"/>
      <c r="D468" s="11"/>
    </row>
    <row r="469" spans="3:4" x14ac:dyDescent="0.3">
      <c r="C469" s="11"/>
      <c r="D469" s="11"/>
    </row>
    <row r="470" spans="3:4" x14ac:dyDescent="0.3">
      <c r="C470" s="11"/>
      <c r="D470" s="11"/>
    </row>
    <row r="471" spans="3:4" x14ac:dyDescent="0.3">
      <c r="C471" s="11"/>
      <c r="D471" s="11"/>
    </row>
    <row r="472" spans="3:4" x14ac:dyDescent="0.3">
      <c r="C472" s="11"/>
      <c r="D472" s="11"/>
    </row>
    <row r="473" spans="3:4" x14ac:dyDescent="0.3">
      <c r="C473" s="11"/>
      <c r="D473" s="11"/>
    </row>
    <row r="474" spans="3:4" x14ac:dyDescent="0.3">
      <c r="C474" s="11"/>
      <c r="D474" s="11"/>
    </row>
    <row r="475" spans="3:4" x14ac:dyDescent="0.3">
      <c r="C475" s="11"/>
      <c r="D475" s="11"/>
    </row>
    <row r="476" spans="3:4" x14ac:dyDescent="0.3">
      <c r="C476" s="11"/>
      <c r="D476" s="11"/>
    </row>
    <row r="477" spans="3:4" x14ac:dyDescent="0.3">
      <c r="C477" s="11"/>
      <c r="D477" s="11"/>
    </row>
    <row r="478" spans="3:4" x14ac:dyDescent="0.3">
      <c r="C478" s="11"/>
      <c r="D478" s="11"/>
    </row>
    <row r="479" spans="3:4" x14ac:dyDescent="0.3">
      <c r="C479" s="11"/>
      <c r="D479" s="11"/>
    </row>
    <row r="480" spans="3:4" x14ac:dyDescent="0.3">
      <c r="C480" s="11"/>
      <c r="D480" s="11"/>
    </row>
    <row r="481" spans="3:4" x14ac:dyDescent="0.3">
      <c r="C481" s="11"/>
      <c r="D481" s="11"/>
    </row>
    <row r="482" spans="3:4" x14ac:dyDescent="0.3">
      <c r="C482" s="11"/>
      <c r="D482" s="11"/>
    </row>
    <row r="483" spans="3:4" x14ac:dyDescent="0.3">
      <c r="C483" s="11"/>
      <c r="D483" s="11"/>
    </row>
    <row r="484" spans="3:4" x14ac:dyDescent="0.3">
      <c r="C484" s="11"/>
      <c r="D484" s="11"/>
    </row>
    <row r="485" spans="3:4" x14ac:dyDescent="0.3">
      <c r="C485" s="11"/>
      <c r="D485" s="11"/>
    </row>
    <row r="486" spans="3:4" x14ac:dyDescent="0.3">
      <c r="C486" s="11"/>
      <c r="D486" s="11"/>
    </row>
    <row r="487" spans="3:4" x14ac:dyDescent="0.3">
      <c r="C487" s="11"/>
      <c r="D487" s="11"/>
    </row>
    <row r="488" spans="3:4" x14ac:dyDescent="0.3">
      <c r="C488" s="11"/>
      <c r="D488" s="11"/>
    </row>
    <row r="489" spans="3:4" x14ac:dyDescent="0.3">
      <c r="C489" s="11"/>
      <c r="D489" s="11"/>
    </row>
    <row r="490" spans="3:4" x14ac:dyDescent="0.3">
      <c r="C490" s="11"/>
      <c r="D490" s="11"/>
    </row>
    <row r="491" spans="3:4" x14ac:dyDescent="0.3">
      <c r="C491" s="11"/>
      <c r="D491" s="11"/>
    </row>
    <row r="492" spans="3:4" x14ac:dyDescent="0.3">
      <c r="C492" s="11"/>
      <c r="D492" s="11"/>
    </row>
    <row r="493" spans="3:4" x14ac:dyDescent="0.3">
      <c r="C493" s="11"/>
      <c r="D493" s="11"/>
    </row>
    <row r="494" spans="3:4" x14ac:dyDescent="0.3">
      <c r="C494" s="11"/>
      <c r="D494" s="11"/>
    </row>
    <row r="495" spans="3:4" x14ac:dyDescent="0.3">
      <c r="C495" s="11"/>
      <c r="D495" s="11"/>
    </row>
    <row r="496" spans="3:4" x14ac:dyDescent="0.3">
      <c r="C496" s="11"/>
      <c r="D496" s="11"/>
    </row>
    <row r="497" spans="3:4" x14ac:dyDescent="0.3">
      <c r="C497" s="11"/>
      <c r="D497" s="11"/>
    </row>
    <row r="498" spans="3:4" x14ac:dyDescent="0.3">
      <c r="C498" s="11"/>
      <c r="D498" s="11"/>
    </row>
    <row r="499" spans="3:4" x14ac:dyDescent="0.3">
      <c r="C499" s="11"/>
      <c r="D499" s="11"/>
    </row>
    <row r="500" spans="3:4" x14ac:dyDescent="0.3">
      <c r="C500" s="11"/>
      <c r="D500" s="11"/>
    </row>
    <row r="501" spans="3:4" x14ac:dyDescent="0.3">
      <c r="C501" s="11"/>
      <c r="D501" s="11"/>
    </row>
    <row r="502" spans="3:4" x14ac:dyDescent="0.3">
      <c r="C502" s="11"/>
      <c r="D502" s="11"/>
    </row>
    <row r="503" spans="3:4" x14ac:dyDescent="0.3">
      <c r="C503" s="11"/>
      <c r="D503" s="11"/>
    </row>
    <row r="504" spans="3:4" x14ac:dyDescent="0.3">
      <c r="C504" s="11"/>
      <c r="D504" s="11"/>
    </row>
    <row r="505" spans="3:4" x14ac:dyDescent="0.3">
      <c r="C505" s="11"/>
      <c r="D505" s="11"/>
    </row>
    <row r="506" spans="3:4" x14ac:dyDescent="0.3">
      <c r="C506" s="11"/>
      <c r="D506" s="11"/>
    </row>
    <row r="507" spans="3:4" x14ac:dyDescent="0.3">
      <c r="C507" s="11"/>
      <c r="D507" s="11"/>
    </row>
    <row r="508" spans="3:4" x14ac:dyDescent="0.3">
      <c r="C508" s="11"/>
      <c r="D508" s="11"/>
    </row>
    <row r="509" spans="3:4" x14ac:dyDescent="0.3">
      <c r="C509" s="11"/>
      <c r="D509" s="11"/>
    </row>
    <row r="510" spans="3:4" x14ac:dyDescent="0.3">
      <c r="C510" s="11"/>
      <c r="D510" s="11"/>
    </row>
    <row r="511" spans="3:4" x14ac:dyDescent="0.3">
      <c r="C511" s="11"/>
      <c r="D511" s="11"/>
    </row>
    <row r="512" spans="3:4" x14ac:dyDescent="0.3">
      <c r="C512" s="11"/>
      <c r="D512" s="11"/>
    </row>
    <row r="513" spans="3:4" x14ac:dyDescent="0.3">
      <c r="C513" s="11"/>
      <c r="D513" s="11"/>
    </row>
    <row r="514" spans="3:4" x14ac:dyDescent="0.3">
      <c r="C514" s="11"/>
      <c r="D514" s="11"/>
    </row>
    <row r="515" spans="3:4" x14ac:dyDescent="0.3">
      <c r="C515" s="11"/>
      <c r="D515" s="11"/>
    </row>
    <row r="516" spans="3:4" x14ac:dyDescent="0.3">
      <c r="C516" s="11"/>
      <c r="D516" s="11"/>
    </row>
    <row r="517" spans="3:4" x14ac:dyDescent="0.3">
      <c r="C517" s="11"/>
      <c r="D517" s="11"/>
    </row>
    <row r="518" spans="3:4" x14ac:dyDescent="0.3">
      <c r="C518" s="11"/>
      <c r="D518" s="11"/>
    </row>
    <row r="519" spans="3:4" x14ac:dyDescent="0.3">
      <c r="C519" s="11"/>
      <c r="D519" s="11"/>
    </row>
    <row r="520" spans="3:4" x14ac:dyDescent="0.3">
      <c r="C520" s="11"/>
      <c r="D520" s="11"/>
    </row>
    <row r="521" spans="3:4" x14ac:dyDescent="0.3">
      <c r="C521" s="11"/>
      <c r="D521" s="11"/>
    </row>
    <row r="522" spans="3:4" x14ac:dyDescent="0.3">
      <c r="C522" s="11"/>
      <c r="D522" s="11"/>
    </row>
    <row r="523" spans="3:4" x14ac:dyDescent="0.3">
      <c r="C523" s="11"/>
      <c r="D523" s="11"/>
    </row>
    <row r="524" spans="3:4" x14ac:dyDescent="0.3">
      <c r="C524" s="11"/>
      <c r="D524" s="11"/>
    </row>
    <row r="525" spans="3:4" x14ac:dyDescent="0.3">
      <c r="C525" s="11"/>
      <c r="D525" s="11"/>
    </row>
    <row r="526" spans="3:4" x14ac:dyDescent="0.3">
      <c r="C526" s="11"/>
      <c r="D526" s="11"/>
    </row>
    <row r="527" spans="3:4" x14ac:dyDescent="0.3">
      <c r="C527" s="11"/>
      <c r="D527" s="11"/>
    </row>
    <row r="528" spans="3:4" x14ac:dyDescent="0.3">
      <c r="C528" s="11"/>
      <c r="D528" s="11"/>
    </row>
    <row r="529" spans="3:4" x14ac:dyDescent="0.3">
      <c r="C529" s="11"/>
      <c r="D529" s="11"/>
    </row>
    <row r="530" spans="3:4" x14ac:dyDescent="0.3">
      <c r="C530" s="11"/>
      <c r="D530" s="11"/>
    </row>
    <row r="531" spans="3:4" x14ac:dyDescent="0.3">
      <c r="C531" s="11"/>
      <c r="D531" s="11"/>
    </row>
    <row r="532" spans="3:4" x14ac:dyDescent="0.3">
      <c r="C532" s="11"/>
      <c r="D532" s="11"/>
    </row>
    <row r="533" spans="3:4" x14ac:dyDescent="0.3">
      <c r="C533" s="11"/>
      <c r="D533" s="11"/>
    </row>
    <row r="534" spans="3:4" x14ac:dyDescent="0.3">
      <c r="C534" s="11"/>
      <c r="D534" s="11"/>
    </row>
    <row r="535" spans="3:4" x14ac:dyDescent="0.3">
      <c r="C535" s="11"/>
      <c r="D535" s="11"/>
    </row>
    <row r="536" spans="3:4" x14ac:dyDescent="0.3">
      <c r="C536" s="11"/>
      <c r="D536" s="11"/>
    </row>
    <row r="537" spans="3:4" x14ac:dyDescent="0.3">
      <c r="C537" s="11"/>
      <c r="D537" s="11"/>
    </row>
    <row r="538" spans="3:4" x14ac:dyDescent="0.3">
      <c r="C538" s="11"/>
      <c r="D538" s="11"/>
    </row>
    <row r="539" spans="3:4" x14ac:dyDescent="0.3">
      <c r="C539" s="11"/>
      <c r="D539" s="11"/>
    </row>
    <row r="540" spans="3:4" x14ac:dyDescent="0.3">
      <c r="C540" s="11"/>
      <c r="D540" s="11"/>
    </row>
    <row r="541" spans="3:4" x14ac:dyDescent="0.3">
      <c r="C541" s="11"/>
      <c r="D541" s="11"/>
    </row>
    <row r="542" spans="3:4" x14ac:dyDescent="0.3">
      <c r="C542" s="11"/>
      <c r="D542" s="11"/>
    </row>
    <row r="543" spans="3:4" x14ac:dyDescent="0.3">
      <c r="C543" s="11"/>
      <c r="D543" s="11"/>
    </row>
    <row r="544" spans="3:4" x14ac:dyDescent="0.3">
      <c r="C544" s="11"/>
      <c r="D544" s="11"/>
    </row>
    <row r="545" spans="3:4" x14ac:dyDescent="0.3">
      <c r="C545" s="11"/>
      <c r="D545" s="11"/>
    </row>
    <row r="546" spans="3:4" x14ac:dyDescent="0.3">
      <c r="C546" s="11"/>
      <c r="D546" s="11"/>
    </row>
    <row r="547" spans="3:4" x14ac:dyDescent="0.3">
      <c r="C547" s="11"/>
      <c r="D547" s="11"/>
    </row>
    <row r="548" spans="3:4" x14ac:dyDescent="0.3">
      <c r="C548" s="11"/>
      <c r="D548" s="11"/>
    </row>
    <row r="549" spans="3:4" x14ac:dyDescent="0.3">
      <c r="C549" s="11"/>
      <c r="D549" s="11"/>
    </row>
    <row r="550" spans="3:4" x14ac:dyDescent="0.3">
      <c r="C550" s="11"/>
      <c r="D550" s="11"/>
    </row>
    <row r="551" spans="3:4" x14ac:dyDescent="0.3">
      <c r="C551" s="11"/>
      <c r="D551" s="11"/>
    </row>
    <row r="552" spans="3:4" x14ac:dyDescent="0.3">
      <c r="C552" s="11"/>
      <c r="D552" s="11"/>
    </row>
    <row r="553" spans="3:4" x14ac:dyDescent="0.3">
      <c r="C553" s="11"/>
      <c r="D553" s="11"/>
    </row>
    <row r="554" spans="3:4" x14ac:dyDescent="0.3">
      <c r="C554" s="11"/>
      <c r="D554" s="11"/>
    </row>
    <row r="555" spans="3:4" x14ac:dyDescent="0.3">
      <c r="C555" s="11"/>
      <c r="D555" s="11"/>
    </row>
    <row r="556" spans="3:4" x14ac:dyDescent="0.3">
      <c r="C556" s="11"/>
      <c r="D556" s="11"/>
    </row>
    <row r="557" spans="3:4" x14ac:dyDescent="0.3">
      <c r="C557" s="11"/>
      <c r="D557" s="11"/>
    </row>
    <row r="558" spans="3:4" x14ac:dyDescent="0.3">
      <c r="C558" s="11"/>
      <c r="D558" s="11"/>
    </row>
    <row r="559" spans="3:4" x14ac:dyDescent="0.3">
      <c r="C559" s="11"/>
      <c r="D559" s="11"/>
    </row>
    <row r="560" spans="3:4" x14ac:dyDescent="0.3">
      <c r="C560" s="11"/>
      <c r="D560" s="11"/>
    </row>
    <row r="561" spans="3:4" x14ac:dyDescent="0.3">
      <c r="C561" s="11"/>
      <c r="D561" s="11"/>
    </row>
    <row r="562" spans="3:4" x14ac:dyDescent="0.3">
      <c r="C562" s="11"/>
      <c r="D562" s="11"/>
    </row>
    <row r="563" spans="3:4" x14ac:dyDescent="0.3">
      <c r="C563" s="11"/>
      <c r="D563" s="11"/>
    </row>
    <row r="564" spans="3:4" x14ac:dyDescent="0.3">
      <c r="C564" s="11"/>
      <c r="D564" s="11"/>
    </row>
    <row r="565" spans="3:4" x14ac:dyDescent="0.3">
      <c r="C565" s="11"/>
      <c r="D565" s="11"/>
    </row>
    <row r="566" spans="3:4" x14ac:dyDescent="0.3">
      <c r="C566" s="11"/>
      <c r="D566" s="11"/>
    </row>
    <row r="567" spans="3:4" x14ac:dyDescent="0.3">
      <c r="C567" s="11"/>
      <c r="D567" s="11"/>
    </row>
    <row r="568" spans="3:4" x14ac:dyDescent="0.3">
      <c r="C568" s="11"/>
      <c r="D568" s="11"/>
    </row>
    <row r="569" spans="3:4" x14ac:dyDescent="0.3">
      <c r="C569" s="11"/>
      <c r="D569" s="11"/>
    </row>
    <row r="570" spans="3:4" x14ac:dyDescent="0.3">
      <c r="C570" s="11"/>
      <c r="D570" s="11"/>
    </row>
    <row r="571" spans="3:4" x14ac:dyDescent="0.3">
      <c r="C571" s="11"/>
      <c r="D571" s="11"/>
    </row>
    <row r="572" spans="3:4" x14ac:dyDescent="0.3">
      <c r="C572" s="11"/>
      <c r="D572" s="11"/>
    </row>
    <row r="573" spans="3:4" x14ac:dyDescent="0.3">
      <c r="C573" s="11"/>
      <c r="D573" s="11"/>
    </row>
    <row r="574" spans="3:4" x14ac:dyDescent="0.3">
      <c r="C574" s="11"/>
      <c r="D574" s="11"/>
    </row>
    <row r="575" spans="3:4" x14ac:dyDescent="0.3">
      <c r="C575" s="11"/>
      <c r="D575" s="11"/>
    </row>
    <row r="576" spans="3:4" x14ac:dyDescent="0.3">
      <c r="C576" s="11"/>
      <c r="D576" s="11"/>
    </row>
    <row r="577" spans="3:4" x14ac:dyDescent="0.3">
      <c r="C577" s="11"/>
      <c r="D577" s="11"/>
    </row>
    <row r="578" spans="3:4" x14ac:dyDescent="0.3">
      <c r="C578" s="11"/>
      <c r="D578" s="11"/>
    </row>
    <row r="579" spans="3:4" x14ac:dyDescent="0.3">
      <c r="C579" s="11"/>
      <c r="D579" s="11"/>
    </row>
    <row r="580" spans="3:4" x14ac:dyDescent="0.3">
      <c r="C580" s="11"/>
      <c r="D580" s="11"/>
    </row>
    <row r="581" spans="3:4" x14ac:dyDescent="0.3">
      <c r="C581" s="11"/>
      <c r="D581" s="11"/>
    </row>
    <row r="582" spans="3:4" x14ac:dyDescent="0.3">
      <c r="C582" s="11"/>
      <c r="D582" s="11"/>
    </row>
    <row r="583" spans="3:4" x14ac:dyDescent="0.3">
      <c r="C583" s="11"/>
      <c r="D583" s="11"/>
    </row>
    <row r="584" spans="3:4" x14ac:dyDescent="0.3">
      <c r="C584" s="11"/>
      <c r="D584" s="11"/>
    </row>
    <row r="585" spans="3:4" x14ac:dyDescent="0.3">
      <c r="C585" s="11"/>
      <c r="D585" s="11"/>
    </row>
    <row r="586" spans="3:4" x14ac:dyDescent="0.3">
      <c r="C586" s="11"/>
      <c r="D586" s="11"/>
    </row>
    <row r="587" spans="3:4" x14ac:dyDescent="0.3">
      <c r="C587" s="11"/>
      <c r="D587" s="11"/>
    </row>
    <row r="588" spans="3:4" x14ac:dyDescent="0.3">
      <c r="C588" s="11"/>
      <c r="D588" s="11"/>
    </row>
    <row r="589" spans="3:4" x14ac:dyDescent="0.3">
      <c r="C589" s="11"/>
      <c r="D589" s="11"/>
    </row>
    <row r="590" spans="3:4" x14ac:dyDescent="0.3">
      <c r="C590" s="11"/>
      <c r="D590" s="11"/>
    </row>
    <row r="591" spans="3:4" x14ac:dyDescent="0.3">
      <c r="C591" s="11"/>
      <c r="D591" s="11"/>
    </row>
    <row r="592" spans="3:4" x14ac:dyDescent="0.3">
      <c r="C592" s="11"/>
      <c r="D592" s="11"/>
    </row>
    <row r="593" spans="3:4" x14ac:dyDescent="0.3">
      <c r="C593" s="11"/>
      <c r="D593" s="11"/>
    </row>
    <row r="594" spans="3:4" x14ac:dyDescent="0.3">
      <c r="C594" s="11"/>
      <c r="D594" s="11"/>
    </row>
    <row r="595" spans="3:4" x14ac:dyDescent="0.3">
      <c r="C595" s="11"/>
      <c r="D595" s="11"/>
    </row>
    <row r="596" spans="3:4" x14ac:dyDescent="0.3">
      <c r="C596" s="11"/>
      <c r="D596" s="11"/>
    </row>
    <row r="597" spans="3:4" x14ac:dyDescent="0.3">
      <c r="C597" s="11"/>
      <c r="D597" s="11"/>
    </row>
    <row r="598" spans="3:4" x14ac:dyDescent="0.3">
      <c r="C598" s="11"/>
      <c r="D598" s="11"/>
    </row>
    <row r="599" spans="3:4" x14ac:dyDescent="0.3">
      <c r="C599" s="11"/>
      <c r="D599" s="11"/>
    </row>
    <row r="600" spans="3:4" x14ac:dyDescent="0.3">
      <c r="C600" s="11"/>
      <c r="D600" s="11"/>
    </row>
    <row r="601" spans="3:4" x14ac:dyDescent="0.3">
      <c r="C601" s="11"/>
      <c r="D601" s="11"/>
    </row>
    <row r="602" spans="3:4" x14ac:dyDescent="0.3">
      <c r="C602" s="11"/>
      <c r="D602" s="11"/>
    </row>
    <row r="603" spans="3:4" x14ac:dyDescent="0.3">
      <c r="C603" s="11"/>
      <c r="D603" s="11"/>
    </row>
    <row r="604" spans="3:4" x14ac:dyDescent="0.3">
      <c r="C604" s="11"/>
      <c r="D604" s="11"/>
    </row>
    <row r="605" spans="3:4" x14ac:dyDescent="0.3">
      <c r="C605" s="11"/>
      <c r="D605" s="11"/>
    </row>
    <row r="606" spans="3:4" x14ac:dyDescent="0.3">
      <c r="C606" s="11"/>
      <c r="D606" s="11"/>
    </row>
    <row r="607" spans="3:4" x14ac:dyDescent="0.3">
      <c r="C607" s="11"/>
      <c r="D607" s="11"/>
    </row>
    <row r="608" spans="3:4" x14ac:dyDescent="0.3">
      <c r="C608" s="11"/>
      <c r="D608" s="11"/>
    </row>
    <row r="609" spans="3:4" x14ac:dyDescent="0.3">
      <c r="C609" s="11"/>
      <c r="D609" s="11"/>
    </row>
    <row r="610" spans="3:4" x14ac:dyDescent="0.3">
      <c r="C610" s="11"/>
      <c r="D610" s="11"/>
    </row>
    <row r="611" spans="3:4" x14ac:dyDescent="0.3">
      <c r="C611" s="11"/>
      <c r="D611" s="11"/>
    </row>
    <row r="612" spans="3:4" x14ac:dyDescent="0.3">
      <c r="C612" s="11"/>
      <c r="D612" s="11"/>
    </row>
    <row r="613" spans="3:4" x14ac:dyDescent="0.3">
      <c r="C613" s="11"/>
      <c r="D613" s="11"/>
    </row>
    <row r="614" spans="3:4" x14ac:dyDescent="0.3">
      <c r="C614" s="11"/>
      <c r="D614" s="11"/>
    </row>
    <row r="615" spans="3:4" x14ac:dyDescent="0.3">
      <c r="C615" s="11"/>
      <c r="D615" s="11"/>
    </row>
    <row r="616" spans="3:4" x14ac:dyDescent="0.3">
      <c r="C616" s="11"/>
      <c r="D616" s="11"/>
    </row>
    <row r="617" spans="3:4" x14ac:dyDescent="0.3">
      <c r="C617" s="11"/>
      <c r="D617" s="11"/>
    </row>
    <row r="618" spans="3:4" x14ac:dyDescent="0.3">
      <c r="C618" s="11"/>
      <c r="D618" s="11"/>
    </row>
    <row r="619" spans="3:4" x14ac:dyDescent="0.3">
      <c r="C619" s="11"/>
      <c r="D619" s="11"/>
    </row>
    <row r="620" spans="3:4" x14ac:dyDescent="0.3">
      <c r="C620" s="11"/>
      <c r="D620" s="11"/>
    </row>
    <row r="621" spans="3:4" x14ac:dyDescent="0.3">
      <c r="C621" s="11"/>
      <c r="D621" s="11"/>
    </row>
    <row r="622" spans="3:4" x14ac:dyDescent="0.3">
      <c r="C622" s="11"/>
      <c r="D622" s="11"/>
    </row>
    <row r="623" spans="3:4" x14ac:dyDescent="0.3">
      <c r="C623" s="11"/>
      <c r="D623" s="11"/>
    </row>
    <row r="624" spans="3:4" x14ac:dyDescent="0.3">
      <c r="C624" s="11"/>
      <c r="D624" s="11"/>
    </row>
    <row r="625" spans="3:4" x14ac:dyDescent="0.3">
      <c r="C625" s="11"/>
      <c r="D625" s="11"/>
    </row>
    <row r="626" spans="3:4" x14ac:dyDescent="0.3">
      <c r="C626" s="11"/>
      <c r="D626" s="11"/>
    </row>
    <row r="627" spans="3:4" x14ac:dyDescent="0.3">
      <c r="C627" s="11"/>
      <c r="D627" s="11"/>
    </row>
    <row r="628" spans="3:4" x14ac:dyDescent="0.3">
      <c r="C628" s="11"/>
      <c r="D628" s="11"/>
    </row>
    <row r="629" spans="3:4" x14ac:dyDescent="0.3">
      <c r="C629" s="11"/>
      <c r="D629" s="11"/>
    </row>
    <row r="630" spans="3:4" x14ac:dyDescent="0.3">
      <c r="C630" s="11"/>
      <c r="D630" s="11"/>
    </row>
    <row r="631" spans="3:4" x14ac:dyDescent="0.3">
      <c r="C631" s="11"/>
      <c r="D631" s="11"/>
    </row>
    <row r="632" spans="3:4" x14ac:dyDescent="0.3">
      <c r="C632" s="11"/>
      <c r="D632" s="11"/>
    </row>
    <row r="633" spans="3:4" x14ac:dyDescent="0.3">
      <c r="C633" s="11"/>
      <c r="D633" s="11"/>
    </row>
    <row r="634" spans="3:4" x14ac:dyDescent="0.3">
      <c r="C634" s="11"/>
      <c r="D634" s="11"/>
    </row>
    <row r="635" spans="3:4" x14ac:dyDescent="0.3">
      <c r="C635" s="11"/>
      <c r="D635" s="11"/>
    </row>
    <row r="636" spans="3:4" x14ac:dyDescent="0.3">
      <c r="C636" s="11"/>
      <c r="D636" s="11"/>
    </row>
    <row r="637" spans="3:4" x14ac:dyDescent="0.3">
      <c r="C637" s="11"/>
      <c r="D637" s="11"/>
    </row>
    <row r="638" spans="3:4" x14ac:dyDescent="0.3">
      <c r="C638" s="11"/>
      <c r="D638" s="11"/>
    </row>
    <row r="639" spans="3:4" x14ac:dyDescent="0.3">
      <c r="C639" s="11"/>
      <c r="D639" s="11"/>
    </row>
    <row r="640" spans="3:4" x14ac:dyDescent="0.3">
      <c r="C640" s="11"/>
      <c r="D640" s="11"/>
    </row>
    <row r="641" spans="3:4" x14ac:dyDescent="0.3">
      <c r="C641" s="11"/>
      <c r="D641" s="11"/>
    </row>
    <row r="642" spans="3:4" x14ac:dyDescent="0.3">
      <c r="C642" s="11"/>
      <c r="D642" s="11"/>
    </row>
    <row r="643" spans="3:4" x14ac:dyDescent="0.3">
      <c r="C643" s="11"/>
      <c r="D643" s="11"/>
    </row>
    <row r="644" spans="3:4" x14ac:dyDescent="0.3">
      <c r="C644" s="11"/>
      <c r="D644" s="11"/>
    </row>
    <row r="645" spans="3:4" x14ac:dyDescent="0.3">
      <c r="C645" s="11"/>
      <c r="D645" s="11"/>
    </row>
    <row r="646" spans="3:4" x14ac:dyDescent="0.3">
      <c r="C646" s="11"/>
      <c r="D646" s="11"/>
    </row>
    <row r="647" spans="3:4" x14ac:dyDescent="0.3">
      <c r="C647" s="11"/>
      <c r="D647" s="11"/>
    </row>
    <row r="648" spans="3:4" x14ac:dyDescent="0.3">
      <c r="C648" s="11"/>
      <c r="D648" s="11"/>
    </row>
    <row r="649" spans="3:4" x14ac:dyDescent="0.3">
      <c r="C649" s="11"/>
      <c r="D649" s="11"/>
    </row>
    <row r="650" spans="3:4" x14ac:dyDescent="0.3">
      <c r="C650" s="11"/>
      <c r="D650" s="11"/>
    </row>
    <row r="651" spans="3:4" x14ac:dyDescent="0.3">
      <c r="C651" s="11"/>
      <c r="D651" s="11"/>
    </row>
    <row r="652" spans="3:4" x14ac:dyDescent="0.3">
      <c r="C652" s="11"/>
      <c r="D652" s="11"/>
    </row>
    <row r="653" spans="3:4" x14ac:dyDescent="0.3">
      <c r="C653" s="11"/>
      <c r="D653" s="11"/>
    </row>
    <row r="654" spans="3:4" x14ac:dyDescent="0.3">
      <c r="C654" s="11"/>
      <c r="D654" s="11"/>
    </row>
    <row r="655" spans="3:4" x14ac:dyDescent="0.3">
      <c r="C655" s="11"/>
      <c r="D655" s="11"/>
    </row>
    <row r="656" spans="3:4" x14ac:dyDescent="0.3">
      <c r="C656" s="11"/>
      <c r="D656" s="11"/>
    </row>
    <row r="657" spans="3:4" x14ac:dyDescent="0.3">
      <c r="C657" s="11"/>
      <c r="D657" s="11"/>
    </row>
    <row r="658" spans="3:4" x14ac:dyDescent="0.3">
      <c r="C658" s="11"/>
      <c r="D658" s="11"/>
    </row>
    <row r="659" spans="3:4" x14ac:dyDescent="0.3">
      <c r="C659" s="11"/>
      <c r="D659" s="11"/>
    </row>
    <row r="660" spans="3:4" x14ac:dyDescent="0.3">
      <c r="C660" s="11"/>
      <c r="D660" s="11"/>
    </row>
    <row r="661" spans="3:4" x14ac:dyDescent="0.3">
      <c r="C661" s="11"/>
      <c r="D661" s="11"/>
    </row>
    <row r="662" spans="3:4" x14ac:dyDescent="0.3">
      <c r="C662" s="11"/>
      <c r="D662" s="11"/>
    </row>
    <row r="663" spans="3:4" x14ac:dyDescent="0.3">
      <c r="C663" s="11"/>
      <c r="D663" s="11"/>
    </row>
    <row r="664" spans="3:4" x14ac:dyDescent="0.3">
      <c r="C664" s="11"/>
      <c r="D664" s="11"/>
    </row>
    <row r="665" spans="3:4" x14ac:dyDescent="0.3">
      <c r="C665" s="11"/>
      <c r="D665" s="11"/>
    </row>
    <row r="666" spans="3:4" x14ac:dyDescent="0.3">
      <c r="C666" s="11"/>
      <c r="D666" s="11"/>
    </row>
    <row r="667" spans="3:4" x14ac:dyDescent="0.3">
      <c r="C667" s="11"/>
      <c r="D667" s="11"/>
    </row>
    <row r="668" spans="3:4" x14ac:dyDescent="0.3">
      <c r="C668" s="11"/>
      <c r="D668" s="11"/>
    </row>
    <row r="669" spans="3:4" x14ac:dyDescent="0.3">
      <c r="C669" s="11"/>
      <c r="D669" s="11"/>
    </row>
    <row r="670" spans="3:4" x14ac:dyDescent="0.3">
      <c r="C670" s="11"/>
      <c r="D670" s="11"/>
    </row>
    <row r="671" spans="3:4" x14ac:dyDescent="0.3">
      <c r="C671" s="11"/>
      <c r="D671" s="11"/>
    </row>
    <row r="672" spans="3:4" x14ac:dyDescent="0.3">
      <c r="C672" s="11"/>
      <c r="D672" s="11"/>
    </row>
    <row r="673" spans="3:4" x14ac:dyDescent="0.3">
      <c r="C673" s="11"/>
      <c r="D673" s="11"/>
    </row>
    <row r="674" spans="3:4" x14ac:dyDescent="0.3">
      <c r="C674" s="11"/>
      <c r="D674" s="11"/>
    </row>
    <row r="675" spans="3:4" x14ac:dyDescent="0.3">
      <c r="C675" s="11"/>
      <c r="D675" s="11"/>
    </row>
    <row r="676" spans="3:4" x14ac:dyDescent="0.3">
      <c r="C676" s="11"/>
      <c r="D676" s="11"/>
    </row>
    <row r="677" spans="3:4" x14ac:dyDescent="0.3">
      <c r="C677" s="11"/>
      <c r="D677" s="11"/>
    </row>
    <row r="678" spans="3:4" x14ac:dyDescent="0.3">
      <c r="C678" s="11"/>
      <c r="D678" s="11"/>
    </row>
    <row r="679" spans="3:4" x14ac:dyDescent="0.3">
      <c r="C679" s="11"/>
      <c r="D679" s="11"/>
    </row>
    <row r="680" spans="3:4" x14ac:dyDescent="0.3">
      <c r="C680" s="11"/>
      <c r="D680" s="11"/>
    </row>
    <row r="681" spans="3:4" x14ac:dyDescent="0.3">
      <c r="C681" s="11"/>
      <c r="D681" s="11"/>
    </row>
    <row r="682" spans="3:4" x14ac:dyDescent="0.3">
      <c r="C682" s="11"/>
      <c r="D682" s="11"/>
    </row>
    <row r="683" spans="3:4" x14ac:dyDescent="0.3">
      <c r="C683" s="11"/>
      <c r="D683" s="11"/>
    </row>
    <row r="684" spans="3:4" x14ac:dyDescent="0.3">
      <c r="C684" s="11"/>
      <c r="D684" s="11"/>
    </row>
    <row r="685" spans="3:4" x14ac:dyDescent="0.3">
      <c r="C685" s="11"/>
      <c r="D685" s="11"/>
    </row>
    <row r="686" spans="3:4" x14ac:dyDescent="0.3">
      <c r="C686" s="11"/>
      <c r="D686" s="11"/>
    </row>
    <row r="687" spans="3:4" x14ac:dyDescent="0.3">
      <c r="C687" s="11"/>
      <c r="D687" s="11"/>
    </row>
    <row r="688" spans="3:4" x14ac:dyDescent="0.3">
      <c r="C688" s="11"/>
      <c r="D688" s="11"/>
    </row>
    <row r="689" spans="3:4" x14ac:dyDescent="0.3">
      <c r="C689" s="11"/>
      <c r="D689" s="11"/>
    </row>
    <row r="690" spans="3:4" x14ac:dyDescent="0.3">
      <c r="C690" s="11"/>
      <c r="D690" s="11"/>
    </row>
    <row r="691" spans="3:4" x14ac:dyDescent="0.3">
      <c r="C691" s="11"/>
      <c r="D691" s="11"/>
    </row>
    <row r="692" spans="3:4" x14ac:dyDescent="0.3">
      <c r="C692" s="11"/>
      <c r="D692" s="11"/>
    </row>
    <row r="693" spans="3:4" x14ac:dyDescent="0.3">
      <c r="C693" s="11"/>
      <c r="D693" s="11"/>
    </row>
    <row r="694" spans="3:4" x14ac:dyDescent="0.3">
      <c r="C694" s="11"/>
      <c r="D694" s="11"/>
    </row>
    <row r="695" spans="3:4" x14ac:dyDescent="0.3">
      <c r="C695" s="11"/>
      <c r="D695" s="11"/>
    </row>
    <row r="696" spans="3:4" x14ac:dyDescent="0.3">
      <c r="C696" s="11"/>
      <c r="D696" s="11"/>
    </row>
    <row r="697" spans="3:4" x14ac:dyDescent="0.3">
      <c r="C697" s="11"/>
      <c r="D697" s="11"/>
    </row>
    <row r="698" spans="3:4" x14ac:dyDescent="0.3">
      <c r="C698" s="11"/>
      <c r="D698" s="11"/>
    </row>
    <row r="699" spans="3:4" x14ac:dyDescent="0.3">
      <c r="C699" s="11"/>
      <c r="D699" s="11"/>
    </row>
    <row r="700" spans="3:4" x14ac:dyDescent="0.3">
      <c r="C700" s="11"/>
      <c r="D700" s="11"/>
    </row>
    <row r="701" spans="3:4" x14ac:dyDescent="0.3">
      <c r="C701" s="11"/>
      <c r="D701" s="11"/>
    </row>
    <row r="702" spans="3:4" x14ac:dyDescent="0.3">
      <c r="C702" s="11"/>
      <c r="D702" s="11"/>
    </row>
    <row r="703" spans="3:4" x14ac:dyDescent="0.3">
      <c r="C703" s="11"/>
      <c r="D703" s="11"/>
    </row>
    <row r="704" spans="3:4" x14ac:dyDescent="0.3">
      <c r="C704" s="11"/>
      <c r="D704" s="11"/>
    </row>
    <row r="705" spans="3:4" x14ac:dyDescent="0.3">
      <c r="C705" s="11"/>
      <c r="D705" s="11"/>
    </row>
    <row r="706" spans="3:4" x14ac:dyDescent="0.3">
      <c r="C706" s="11"/>
      <c r="D706" s="11"/>
    </row>
    <row r="707" spans="3:4" x14ac:dyDescent="0.3">
      <c r="C707" s="11"/>
      <c r="D707" s="11"/>
    </row>
    <row r="708" spans="3:4" x14ac:dyDescent="0.3">
      <c r="C708" s="11"/>
      <c r="D708" s="11"/>
    </row>
    <row r="709" spans="3:4" x14ac:dyDescent="0.3">
      <c r="C709" s="11"/>
      <c r="D709" s="11"/>
    </row>
    <row r="710" spans="3:4" x14ac:dyDescent="0.3">
      <c r="C710" s="11"/>
      <c r="D710" s="11"/>
    </row>
    <row r="711" spans="3:4" x14ac:dyDescent="0.3">
      <c r="C711" s="11"/>
      <c r="D711" s="11"/>
    </row>
    <row r="712" spans="3:4" x14ac:dyDescent="0.3">
      <c r="C712" s="11"/>
      <c r="D712" s="11"/>
    </row>
    <row r="713" spans="3:4" x14ac:dyDescent="0.3">
      <c r="C713" s="11"/>
      <c r="D713" s="11"/>
    </row>
    <row r="714" spans="3:4" x14ac:dyDescent="0.3">
      <c r="C714" s="11"/>
      <c r="D714" s="11"/>
    </row>
    <row r="715" spans="3:4" x14ac:dyDescent="0.3">
      <c r="C715" s="11"/>
      <c r="D715" s="11"/>
    </row>
    <row r="716" spans="3:4" x14ac:dyDescent="0.3">
      <c r="C716" s="11"/>
      <c r="D716" s="11"/>
    </row>
    <row r="717" spans="3:4" x14ac:dyDescent="0.3">
      <c r="C717" s="11"/>
      <c r="D717" s="11"/>
    </row>
    <row r="718" spans="3:4" x14ac:dyDescent="0.3">
      <c r="C718" s="11"/>
      <c r="D718" s="11"/>
    </row>
    <row r="719" spans="3:4" x14ac:dyDescent="0.3">
      <c r="C719" s="11"/>
      <c r="D719" s="11"/>
    </row>
    <row r="720" spans="3:4" x14ac:dyDescent="0.3">
      <c r="C720" s="11"/>
      <c r="D720" s="11"/>
    </row>
    <row r="721" spans="3:4" x14ac:dyDescent="0.3">
      <c r="C721" s="11"/>
      <c r="D721" s="11"/>
    </row>
    <row r="722" spans="3:4" x14ac:dyDescent="0.3">
      <c r="C722" s="11"/>
      <c r="D722" s="11"/>
    </row>
    <row r="723" spans="3:4" x14ac:dyDescent="0.3">
      <c r="C723" s="11"/>
      <c r="D723" s="11"/>
    </row>
    <row r="724" spans="3:4" x14ac:dyDescent="0.3">
      <c r="C724" s="11"/>
      <c r="D724" s="11"/>
    </row>
    <row r="725" spans="3:4" x14ac:dyDescent="0.3">
      <c r="C725" s="11"/>
      <c r="D725" s="11"/>
    </row>
    <row r="726" spans="3:4" x14ac:dyDescent="0.3">
      <c r="C726" s="11"/>
      <c r="D726" s="11"/>
    </row>
    <row r="727" spans="3:4" x14ac:dyDescent="0.3">
      <c r="C727" s="11"/>
      <c r="D727" s="11"/>
    </row>
    <row r="728" spans="3:4" x14ac:dyDescent="0.3">
      <c r="C728" s="11"/>
      <c r="D728" s="11"/>
    </row>
    <row r="729" spans="3:4" x14ac:dyDescent="0.3">
      <c r="C729" s="11"/>
      <c r="D729" s="11"/>
    </row>
    <row r="730" spans="3:4" x14ac:dyDescent="0.3">
      <c r="C730" s="11"/>
      <c r="D730" s="11"/>
    </row>
    <row r="731" spans="3:4" x14ac:dyDescent="0.3">
      <c r="C731" s="11"/>
      <c r="D731" s="11"/>
    </row>
    <row r="732" spans="3:4" x14ac:dyDescent="0.3">
      <c r="C732" s="11"/>
      <c r="D732" s="11"/>
    </row>
    <row r="733" spans="3:4" x14ac:dyDescent="0.3">
      <c r="C733" s="11"/>
      <c r="D733" s="11"/>
    </row>
    <row r="734" spans="3:4" x14ac:dyDescent="0.3">
      <c r="C734" s="11"/>
      <c r="D734" s="11"/>
    </row>
    <row r="735" spans="3:4" x14ac:dyDescent="0.3">
      <c r="C735" s="11"/>
      <c r="D735" s="11"/>
    </row>
    <row r="736" spans="3:4" x14ac:dyDescent="0.3">
      <c r="C736" s="11"/>
      <c r="D736" s="11"/>
    </row>
    <row r="737" spans="3:4" x14ac:dyDescent="0.3">
      <c r="C737" s="11"/>
      <c r="D737" s="11"/>
    </row>
    <row r="738" spans="3:4" x14ac:dyDescent="0.3">
      <c r="C738" s="11"/>
      <c r="D738" s="11"/>
    </row>
    <row r="739" spans="3:4" x14ac:dyDescent="0.3">
      <c r="C739" s="11"/>
      <c r="D739" s="11"/>
    </row>
    <row r="740" spans="3:4" x14ac:dyDescent="0.3">
      <c r="C740" s="11"/>
      <c r="D740" s="11"/>
    </row>
    <row r="741" spans="3:4" x14ac:dyDescent="0.3">
      <c r="C741" s="11"/>
      <c r="D741" s="11"/>
    </row>
    <row r="742" spans="3:4" x14ac:dyDescent="0.3">
      <c r="C742" s="11"/>
      <c r="D742" s="11"/>
    </row>
    <row r="743" spans="3:4" x14ac:dyDescent="0.3">
      <c r="C743" s="11"/>
      <c r="D743" s="11"/>
    </row>
    <row r="744" spans="3:4" x14ac:dyDescent="0.3">
      <c r="C744" s="11"/>
      <c r="D744" s="11"/>
    </row>
    <row r="745" spans="3:4" x14ac:dyDescent="0.3">
      <c r="C745" s="11"/>
      <c r="D745" s="11"/>
    </row>
    <row r="746" spans="3:4" x14ac:dyDescent="0.3">
      <c r="C746" s="11"/>
      <c r="D746" s="11"/>
    </row>
    <row r="747" spans="3:4" x14ac:dyDescent="0.3">
      <c r="C747" s="11"/>
      <c r="D747" s="11"/>
    </row>
    <row r="748" spans="3:4" x14ac:dyDescent="0.3">
      <c r="C748" s="11"/>
      <c r="D748" s="11"/>
    </row>
    <row r="749" spans="3:4" x14ac:dyDescent="0.3">
      <c r="C749" s="11"/>
      <c r="D749" s="11"/>
    </row>
    <row r="750" spans="3:4" x14ac:dyDescent="0.3">
      <c r="C750" s="11"/>
      <c r="D750" s="11"/>
    </row>
    <row r="751" spans="3:4" x14ac:dyDescent="0.3">
      <c r="C751" s="11"/>
      <c r="D751" s="11"/>
    </row>
    <row r="752" spans="3:4" x14ac:dyDescent="0.3">
      <c r="C752" s="11"/>
      <c r="D752" s="11"/>
    </row>
  </sheetData>
  <protectedRanges>
    <protectedRange sqref="B4" name="Range1_3_1_1_3_1_1"/>
    <protectedRange sqref="M5:N5 AB5 A5:K5" name="Range1_3_1_1_2_1_1_2_1"/>
    <protectedRange sqref="S5" name="Range1_3_2_2_1_2_1_1_1_1"/>
    <protectedRange sqref="P5" name="Range2_1_1_1_1_1_1_1_1"/>
    <protectedRange sqref="Q5" name="Range2_1_1_1_1_1_1_2_1_1"/>
    <protectedRange sqref="W5" name="Range1_3_1_1_2_1_1_2_1_2_1"/>
  </protectedRanges>
  <autoFilter ref="A5:AI35" xr:uid="{FE10AA97-D8C2-4E29-BFDF-E0C222481E1F}"/>
  <mergeCells count="1">
    <mergeCell ref="P4:Q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4357-5A64-40E4-A45E-F2A664A07C43}">
  <dimension ref="A1:F44"/>
  <sheetViews>
    <sheetView topLeftCell="A35" workbookViewId="0">
      <selection activeCell="B49" sqref="B49"/>
    </sheetView>
  </sheetViews>
  <sheetFormatPr defaultRowHeight="14.4" x14ac:dyDescent="0.3"/>
  <cols>
    <col min="1" max="2" width="32.6640625" customWidth="1"/>
    <col min="3" max="3" width="31.77734375" customWidth="1"/>
    <col min="4" max="4" width="32.5546875" customWidth="1"/>
    <col min="5" max="5" width="22.6640625" customWidth="1"/>
    <col min="6" max="6" width="23.21875" customWidth="1"/>
  </cols>
  <sheetData>
    <row r="1" spans="1:6" ht="25.2" thickBot="1" x14ac:dyDescent="0.45">
      <c r="A1" s="98" t="s">
        <v>119</v>
      </c>
      <c r="B1" s="107"/>
      <c r="C1" s="107"/>
      <c r="D1" s="99"/>
      <c r="E1" s="99"/>
      <c r="F1" s="100"/>
    </row>
    <row r="2" spans="1:6" x14ac:dyDescent="0.3">
      <c r="A2" s="60" t="s">
        <v>120</v>
      </c>
      <c r="B2" s="108" t="s">
        <v>170</v>
      </c>
      <c r="C2" s="86" t="s">
        <v>121</v>
      </c>
      <c r="D2" s="60" t="s">
        <v>192</v>
      </c>
      <c r="E2" s="61" t="s">
        <v>189</v>
      </c>
      <c r="F2" s="61" t="s">
        <v>123</v>
      </c>
    </row>
    <row r="3" spans="1:6" x14ac:dyDescent="0.3">
      <c r="A3" s="101" t="s">
        <v>124</v>
      </c>
      <c r="B3" s="108" t="s">
        <v>173</v>
      </c>
      <c r="C3" s="62" t="s">
        <v>125</v>
      </c>
      <c r="D3" s="63">
        <v>61.75</v>
      </c>
      <c r="E3" s="64">
        <v>25</v>
      </c>
      <c r="F3" s="64">
        <v>41.4</v>
      </c>
    </row>
    <row r="4" spans="1:6" x14ac:dyDescent="0.3">
      <c r="A4" s="102"/>
      <c r="B4" s="108" t="s">
        <v>175</v>
      </c>
      <c r="C4" s="62" t="s">
        <v>126</v>
      </c>
      <c r="D4" s="63">
        <v>71.25</v>
      </c>
      <c r="E4" s="64">
        <v>30</v>
      </c>
      <c r="F4" s="64">
        <v>49</v>
      </c>
    </row>
    <row r="5" spans="1:6" x14ac:dyDescent="0.3">
      <c r="A5" s="102"/>
      <c r="B5" s="108" t="s">
        <v>177</v>
      </c>
      <c r="C5" s="62" t="s">
        <v>127</v>
      </c>
      <c r="D5" s="63">
        <v>80.75</v>
      </c>
      <c r="E5" s="64">
        <v>35</v>
      </c>
      <c r="F5" s="64">
        <v>56.6</v>
      </c>
    </row>
    <row r="6" spans="1:6" x14ac:dyDescent="0.3">
      <c r="A6" s="102"/>
      <c r="B6" s="108" t="s">
        <v>190</v>
      </c>
      <c r="C6" s="62" t="s">
        <v>128</v>
      </c>
      <c r="D6" s="63">
        <v>90.25</v>
      </c>
      <c r="E6" s="64">
        <v>40</v>
      </c>
      <c r="F6" s="64">
        <v>64.2</v>
      </c>
    </row>
    <row r="7" spans="1:6" x14ac:dyDescent="0.3">
      <c r="A7" s="103"/>
      <c r="B7" s="108" t="s">
        <v>191</v>
      </c>
      <c r="C7" s="62" t="s">
        <v>129</v>
      </c>
      <c r="D7" s="64" t="s">
        <v>130</v>
      </c>
      <c r="E7" s="64" t="s">
        <v>131</v>
      </c>
      <c r="F7" s="64" t="s">
        <v>132</v>
      </c>
    </row>
    <row r="8" spans="1:6" x14ac:dyDescent="0.3">
      <c r="A8" s="101" t="s">
        <v>37</v>
      </c>
      <c r="B8" s="108" t="s">
        <v>173</v>
      </c>
      <c r="C8" s="62" t="s">
        <v>125</v>
      </c>
      <c r="D8" s="63">
        <v>66.5</v>
      </c>
      <c r="E8" s="64">
        <v>30</v>
      </c>
      <c r="F8" s="64">
        <v>45.2</v>
      </c>
    </row>
    <row r="9" spans="1:6" x14ac:dyDescent="0.3">
      <c r="A9" s="102"/>
      <c r="B9" s="108" t="s">
        <v>175</v>
      </c>
      <c r="C9" s="62" t="s">
        <v>126</v>
      </c>
      <c r="D9" s="63">
        <v>75.510000000000005</v>
      </c>
      <c r="E9" s="64">
        <v>35</v>
      </c>
      <c r="F9" s="64">
        <v>52.4</v>
      </c>
    </row>
    <row r="10" spans="1:6" x14ac:dyDescent="0.3">
      <c r="A10" s="102"/>
      <c r="B10" s="108" t="s">
        <v>177</v>
      </c>
      <c r="C10" s="62" t="s">
        <v>127</v>
      </c>
      <c r="D10" s="63">
        <v>87.95</v>
      </c>
      <c r="E10" s="64">
        <v>40</v>
      </c>
      <c r="F10" s="64">
        <v>62.35</v>
      </c>
    </row>
    <row r="11" spans="1:6" x14ac:dyDescent="0.3">
      <c r="A11" s="102"/>
      <c r="B11" s="108" t="s">
        <v>190</v>
      </c>
      <c r="C11" s="62" t="s">
        <v>128</v>
      </c>
      <c r="D11" s="63">
        <v>100.4</v>
      </c>
      <c r="E11" s="64">
        <v>45</v>
      </c>
      <c r="F11" s="64">
        <v>72.3</v>
      </c>
    </row>
    <row r="12" spans="1:6" x14ac:dyDescent="0.3">
      <c r="A12" s="103"/>
      <c r="B12" s="108" t="s">
        <v>191</v>
      </c>
      <c r="C12" s="62" t="s">
        <v>129</v>
      </c>
      <c r="D12" s="64" t="s">
        <v>130</v>
      </c>
      <c r="E12" s="64" t="s">
        <v>131</v>
      </c>
      <c r="F12" s="64" t="s">
        <v>132</v>
      </c>
    </row>
    <row r="13" spans="1:6" x14ac:dyDescent="0.3">
      <c r="A13" s="101" t="s">
        <v>133</v>
      </c>
      <c r="B13" s="108" t="s">
        <v>173</v>
      </c>
      <c r="C13" s="62" t="s">
        <v>125</v>
      </c>
      <c r="D13" s="63">
        <v>90.25</v>
      </c>
      <c r="E13" s="64">
        <v>35</v>
      </c>
      <c r="F13" s="64">
        <v>66</v>
      </c>
    </row>
    <row r="14" spans="1:6" x14ac:dyDescent="0.3">
      <c r="A14" s="102"/>
      <c r="B14" s="108" t="s">
        <v>175</v>
      </c>
      <c r="C14" s="62" t="s">
        <v>126</v>
      </c>
      <c r="D14" s="63">
        <v>99.21</v>
      </c>
      <c r="E14" s="64">
        <v>40</v>
      </c>
      <c r="F14" s="64">
        <v>73.349999999999994</v>
      </c>
    </row>
    <row r="15" spans="1:6" x14ac:dyDescent="0.3">
      <c r="A15" s="102"/>
      <c r="B15" s="108" t="s">
        <v>177</v>
      </c>
      <c r="C15" s="62" t="s">
        <v>127</v>
      </c>
      <c r="D15" s="63">
        <v>111.65</v>
      </c>
      <c r="E15" s="64">
        <v>45</v>
      </c>
      <c r="F15" s="64">
        <v>83.55</v>
      </c>
    </row>
    <row r="16" spans="1:6" x14ac:dyDescent="0.3">
      <c r="A16" s="102"/>
      <c r="B16" s="108" t="s">
        <v>190</v>
      </c>
      <c r="C16" s="62" t="s">
        <v>128</v>
      </c>
      <c r="D16" s="63">
        <v>124.1</v>
      </c>
      <c r="E16" s="64">
        <v>50</v>
      </c>
      <c r="F16" s="64">
        <v>93.75</v>
      </c>
    </row>
    <row r="17" spans="1:6" x14ac:dyDescent="0.3">
      <c r="A17" s="102"/>
      <c r="B17" s="108" t="s">
        <v>191</v>
      </c>
      <c r="C17" s="62" t="s">
        <v>129</v>
      </c>
      <c r="D17" s="64" t="s">
        <v>130</v>
      </c>
      <c r="E17" s="64" t="s">
        <v>131</v>
      </c>
      <c r="F17" s="64" t="s">
        <v>132</v>
      </c>
    </row>
    <row r="18" spans="1:6" x14ac:dyDescent="0.3">
      <c r="A18" s="101" t="s">
        <v>134</v>
      </c>
      <c r="B18" s="108" t="s">
        <v>173</v>
      </c>
      <c r="C18" s="62" t="s">
        <v>125</v>
      </c>
      <c r="D18" s="63">
        <v>114</v>
      </c>
      <c r="E18" s="64">
        <v>40</v>
      </c>
      <c r="F18" s="64">
        <v>85.45</v>
      </c>
    </row>
    <row r="19" spans="1:6" x14ac:dyDescent="0.3">
      <c r="A19" s="102"/>
      <c r="B19" s="108" t="s">
        <v>175</v>
      </c>
      <c r="C19" s="62" t="s">
        <v>126</v>
      </c>
      <c r="D19" s="63">
        <v>124.1</v>
      </c>
      <c r="E19" s="64">
        <v>45</v>
      </c>
      <c r="F19" s="64">
        <v>93.75</v>
      </c>
    </row>
    <row r="20" spans="1:6" x14ac:dyDescent="0.3">
      <c r="A20" s="102"/>
      <c r="B20" s="108" t="s">
        <v>177</v>
      </c>
      <c r="C20" s="62" t="s">
        <v>127</v>
      </c>
      <c r="D20" s="63">
        <v>131.44</v>
      </c>
      <c r="E20" s="64">
        <v>50</v>
      </c>
      <c r="F20" s="64">
        <v>99.75</v>
      </c>
    </row>
    <row r="21" spans="1:6" x14ac:dyDescent="0.3">
      <c r="A21" s="102"/>
      <c r="B21" s="108" t="s">
        <v>190</v>
      </c>
      <c r="C21" s="62" t="s">
        <v>128</v>
      </c>
      <c r="D21" s="63">
        <v>138.78</v>
      </c>
      <c r="E21" s="64">
        <v>55</v>
      </c>
      <c r="F21" s="64">
        <v>105.8</v>
      </c>
    </row>
    <row r="22" spans="1:6" x14ac:dyDescent="0.3">
      <c r="A22" s="103"/>
      <c r="B22" s="108" t="s">
        <v>191</v>
      </c>
      <c r="C22" s="62" t="s">
        <v>129</v>
      </c>
      <c r="D22" s="64" t="s">
        <v>130</v>
      </c>
      <c r="E22" s="64" t="s">
        <v>131</v>
      </c>
      <c r="F22" s="64" t="s">
        <v>132</v>
      </c>
    </row>
    <row r="23" spans="1:6" x14ac:dyDescent="0.3">
      <c r="A23" s="65"/>
      <c r="B23" s="65"/>
      <c r="C23" s="66"/>
      <c r="D23" s="67"/>
      <c r="E23" s="68"/>
      <c r="F23" s="68"/>
    </row>
    <row r="24" spans="1:6" ht="15" thickBot="1" x14ac:dyDescent="0.35">
      <c r="A24" s="65"/>
      <c r="B24" s="65"/>
      <c r="C24" s="66"/>
      <c r="D24" s="67"/>
      <c r="E24" s="68"/>
      <c r="F24" s="68"/>
    </row>
    <row r="25" spans="1:6" ht="18" thickBot="1" x14ac:dyDescent="0.35">
      <c r="A25" s="104" t="s">
        <v>135</v>
      </c>
      <c r="B25" s="105"/>
      <c r="C25" s="105"/>
      <c r="D25" s="105"/>
      <c r="E25" s="106"/>
      <c r="F25" s="65"/>
    </row>
    <row r="26" spans="1:6" x14ac:dyDescent="0.3">
      <c r="A26" s="69" t="s">
        <v>136</v>
      </c>
      <c r="B26" s="69"/>
      <c r="C26" s="70" t="s">
        <v>122</v>
      </c>
      <c r="D26" s="61" t="s">
        <v>189</v>
      </c>
      <c r="E26" s="61" t="s">
        <v>123</v>
      </c>
      <c r="F26" s="71"/>
    </row>
    <row r="27" spans="1:6" x14ac:dyDescent="0.3">
      <c r="A27" s="72" t="s">
        <v>137</v>
      </c>
      <c r="B27" s="72"/>
      <c r="C27" s="64" t="s">
        <v>130</v>
      </c>
      <c r="D27" s="64" t="s">
        <v>131</v>
      </c>
      <c r="E27" s="64" t="s">
        <v>132</v>
      </c>
      <c r="F27" s="71"/>
    </row>
    <row r="28" spans="1:6" x14ac:dyDescent="0.3">
      <c r="A28" s="73" t="s">
        <v>138</v>
      </c>
      <c r="B28" s="73"/>
      <c r="C28" s="74" t="s">
        <v>139</v>
      </c>
      <c r="D28" s="75" t="s">
        <v>140</v>
      </c>
      <c r="E28" s="75" t="s">
        <v>141</v>
      </c>
      <c r="F28" s="65"/>
    </row>
    <row r="29" spans="1:6" x14ac:dyDescent="0.3">
      <c r="A29" s="73" t="s">
        <v>142</v>
      </c>
      <c r="B29" s="73"/>
      <c r="C29" s="74" t="s">
        <v>143</v>
      </c>
      <c r="D29" s="74" t="s">
        <v>144</v>
      </c>
      <c r="E29" s="74" t="s">
        <v>144</v>
      </c>
      <c r="F29" s="65"/>
    </row>
    <row r="30" spans="1:6" ht="28.2" x14ac:dyDescent="0.3">
      <c r="A30" s="76" t="s">
        <v>145</v>
      </c>
      <c r="B30" s="76"/>
      <c r="C30" s="74" t="s">
        <v>146</v>
      </c>
      <c r="D30" s="75" t="s">
        <v>147</v>
      </c>
      <c r="E30" s="75" t="s">
        <v>148</v>
      </c>
      <c r="F30" s="65"/>
    </row>
    <row r="31" spans="1:6" x14ac:dyDescent="0.3">
      <c r="A31" s="73" t="s">
        <v>149</v>
      </c>
      <c r="B31" s="73"/>
      <c r="C31" s="74" t="s">
        <v>150</v>
      </c>
      <c r="D31" s="74" t="s">
        <v>151</v>
      </c>
      <c r="E31" s="74" t="s">
        <v>150</v>
      </c>
      <c r="F31" s="65"/>
    </row>
    <row r="32" spans="1:6" x14ac:dyDescent="0.3">
      <c r="A32" s="73" t="s">
        <v>152</v>
      </c>
      <c r="B32" s="73"/>
      <c r="C32" s="74" t="s">
        <v>150</v>
      </c>
      <c r="D32" s="74" t="s">
        <v>150</v>
      </c>
      <c r="E32" s="74" t="s">
        <v>150</v>
      </c>
      <c r="F32" s="65"/>
    </row>
    <row r="33" spans="1:6" x14ac:dyDescent="0.3">
      <c r="A33" s="73" t="s">
        <v>153</v>
      </c>
      <c r="B33" s="73"/>
      <c r="C33" s="74" t="s">
        <v>150</v>
      </c>
      <c r="D33" s="74" t="s">
        <v>150</v>
      </c>
      <c r="E33" s="74" t="s">
        <v>150</v>
      </c>
      <c r="F33" s="65"/>
    </row>
    <row r="34" spans="1:6" x14ac:dyDescent="0.3">
      <c r="A34" s="77" t="s">
        <v>154</v>
      </c>
      <c r="B34" s="77"/>
      <c r="C34" s="74" t="s">
        <v>155</v>
      </c>
      <c r="D34" s="74" t="s">
        <v>156</v>
      </c>
      <c r="E34" s="74" t="s">
        <v>155</v>
      </c>
      <c r="F34" s="65"/>
    </row>
    <row r="35" spans="1:6" ht="28.2" x14ac:dyDescent="0.3">
      <c r="A35" s="78" t="s">
        <v>157</v>
      </c>
      <c r="B35" s="78"/>
      <c r="C35" s="64" t="s">
        <v>158</v>
      </c>
      <c r="D35" s="75" t="s">
        <v>156</v>
      </c>
      <c r="E35" s="75" t="s">
        <v>156</v>
      </c>
      <c r="F35" s="65"/>
    </row>
    <row r="36" spans="1:6" ht="28.2" x14ac:dyDescent="0.3">
      <c r="A36" s="78" t="s">
        <v>159</v>
      </c>
      <c r="B36" s="78"/>
      <c r="C36" s="74" t="s">
        <v>160</v>
      </c>
      <c r="D36" s="75" t="s">
        <v>156</v>
      </c>
      <c r="E36" s="75" t="s">
        <v>156</v>
      </c>
      <c r="F36" s="65"/>
    </row>
    <row r="37" spans="1:6" ht="28.2" x14ac:dyDescent="0.3">
      <c r="A37" s="78" t="s">
        <v>161</v>
      </c>
      <c r="B37" s="78"/>
      <c r="C37" s="74" t="s">
        <v>160</v>
      </c>
      <c r="D37" s="75" t="s">
        <v>156</v>
      </c>
      <c r="E37" s="75" t="s">
        <v>156</v>
      </c>
      <c r="F37" s="65"/>
    </row>
    <row r="38" spans="1:6" ht="28.2" x14ac:dyDescent="0.3">
      <c r="A38" s="78" t="s">
        <v>162</v>
      </c>
      <c r="B38" s="78"/>
      <c r="C38" s="63" t="s">
        <v>163</v>
      </c>
      <c r="D38" s="75" t="s">
        <v>156</v>
      </c>
      <c r="E38" s="63" t="s">
        <v>156</v>
      </c>
      <c r="F38" s="65"/>
    </row>
    <row r="39" spans="1:6" ht="28.2" x14ac:dyDescent="0.3">
      <c r="A39" s="78" t="s">
        <v>164</v>
      </c>
      <c r="B39" s="78"/>
      <c r="C39" s="64" t="s">
        <v>165</v>
      </c>
      <c r="D39" s="75" t="s">
        <v>156</v>
      </c>
      <c r="E39" s="64" t="s">
        <v>156</v>
      </c>
      <c r="F39" s="65"/>
    </row>
    <row r="40" spans="1:6" x14ac:dyDescent="0.3">
      <c r="A40" s="66" t="s">
        <v>166</v>
      </c>
      <c r="B40" s="66"/>
      <c r="C40" s="64" t="s">
        <v>167</v>
      </c>
      <c r="D40" s="75" t="s">
        <v>156</v>
      </c>
      <c r="E40" s="64" t="s">
        <v>156</v>
      </c>
      <c r="F40" s="65"/>
    </row>
    <row r="41" spans="1:6" x14ac:dyDescent="0.3">
      <c r="A41" s="73" t="s">
        <v>168</v>
      </c>
      <c r="B41" s="73"/>
      <c r="C41" s="79" t="s">
        <v>169</v>
      </c>
      <c r="D41" s="75" t="s">
        <v>156</v>
      </c>
      <c r="E41" s="79" t="s">
        <v>169</v>
      </c>
      <c r="F41" s="65"/>
    </row>
    <row r="42" spans="1:6" x14ac:dyDescent="0.3">
      <c r="A42" s="65"/>
      <c r="B42" s="65"/>
      <c r="C42" s="80"/>
      <c r="D42" s="67"/>
      <c r="E42" s="67"/>
      <c r="F42" s="80"/>
    </row>
    <row r="43" spans="1:6" x14ac:dyDescent="0.3">
      <c r="A43" s="81" t="s">
        <v>193</v>
      </c>
      <c r="B43" s="82">
        <v>12207</v>
      </c>
      <c r="D43" s="67"/>
      <c r="E43" s="83"/>
      <c r="F43" s="83"/>
    </row>
    <row r="44" spans="1:6" x14ac:dyDescent="0.3">
      <c r="A44" s="84"/>
      <c r="B44" s="84"/>
      <c r="C44" s="83"/>
      <c r="D44" s="67"/>
      <c r="E44" s="83"/>
      <c r="F44" s="83"/>
    </row>
  </sheetData>
  <mergeCells count="6">
    <mergeCell ref="A25:E25"/>
    <mergeCell ref="A1:F1"/>
    <mergeCell ref="A3:A7"/>
    <mergeCell ref="A8:A12"/>
    <mergeCell ref="A13:A17"/>
    <mergeCell ref="A18:A22"/>
  </mergeCells>
  <phoneticPr fontId="2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69CE7-36BB-480F-9AFC-DCF7696C2D26}">
  <dimension ref="A1:G7"/>
  <sheetViews>
    <sheetView workbookViewId="0">
      <selection activeCell="F15" sqref="F13:F15"/>
    </sheetView>
  </sheetViews>
  <sheetFormatPr defaultRowHeight="14.4" x14ac:dyDescent="0.3"/>
  <cols>
    <col min="3" max="3" width="15.44140625" customWidth="1"/>
    <col min="4" max="4" width="21" customWidth="1"/>
    <col min="5" max="5" width="11" bestFit="1" customWidth="1"/>
    <col min="6" max="6" width="11.33203125" bestFit="1" customWidth="1"/>
    <col min="7" max="7" width="15.21875" customWidth="1"/>
  </cols>
  <sheetData>
    <row r="1" spans="1:7" x14ac:dyDescent="0.3">
      <c r="A1" s="65"/>
      <c r="B1" s="65"/>
      <c r="C1" s="67"/>
      <c r="D1" s="85"/>
      <c r="E1" s="68"/>
      <c r="F1" s="68"/>
      <c r="G1" s="65"/>
    </row>
    <row r="2" spans="1:7" ht="42" x14ac:dyDescent="0.3">
      <c r="A2" s="66"/>
      <c r="B2" s="66"/>
      <c r="C2" s="62" t="s">
        <v>194</v>
      </c>
      <c r="D2" s="86" t="s">
        <v>121</v>
      </c>
      <c r="E2" s="87" t="s">
        <v>171</v>
      </c>
      <c r="F2" s="87" t="s">
        <v>172</v>
      </c>
      <c r="G2" s="66"/>
    </row>
    <row r="3" spans="1:7" x14ac:dyDescent="0.3">
      <c r="A3" s="65"/>
      <c r="B3" s="65"/>
      <c r="C3" s="88" t="s">
        <v>173</v>
      </c>
      <c r="D3" s="89" t="s">
        <v>174</v>
      </c>
      <c r="E3" s="64">
        <v>25</v>
      </c>
      <c r="F3" s="64">
        <v>18</v>
      </c>
      <c r="G3" s="65"/>
    </row>
    <row r="4" spans="1:7" x14ac:dyDescent="0.3">
      <c r="A4" s="65"/>
      <c r="B4" s="65"/>
      <c r="C4" s="88" t="s">
        <v>175</v>
      </c>
      <c r="D4" s="89" t="s">
        <v>176</v>
      </c>
      <c r="E4" s="64">
        <v>35</v>
      </c>
      <c r="F4" s="64">
        <v>20</v>
      </c>
      <c r="G4" s="65"/>
    </row>
    <row r="5" spans="1:7" x14ac:dyDescent="0.3">
      <c r="A5" s="65"/>
      <c r="B5" s="65"/>
      <c r="C5" s="88" t="s">
        <v>177</v>
      </c>
      <c r="D5" s="89" t="s">
        <v>178</v>
      </c>
      <c r="E5" s="64">
        <v>50</v>
      </c>
      <c r="F5" s="64">
        <v>30</v>
      </c>
      <c r="G5" s="65"/>
    </row>
    <row r="6" spans="1:7" x14ac:dyDescent="0.3">
      <c r="A6" s="65"/>
      <c r="B6" s="65"/>
      <c r="C6" s="67"/>
      <c r="D6" s="85"/>
      <c r="E6" s="68"/>
      <c r="F6" s="68"/>
      <c r="G6" s="65"/>
    </row>
    <row r="7" spans="1:7" x14ac:dyDescent="0.3">
      <c r="A7" s="65"/>
      <c r="B7" s="65"/>
      <c r="C7" s="67"/>
      <c r="D7" s="85"/>
      <c r="E7" s="68"/>
      <c r="F7" s="68"/>
      <c r="G7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Ulaganathan</dc:creator>
  <cp:lastModifiedBy>M P</cp:lastModifiedBy>
  <dcterms:created xsi:type="dcterms:W3CDTF">2025-10-13T00:59:20Z</dcterms:created>
  <dcterms:modified xsi:type="dcterms:W3CDTF">2025-10-19T23:35:47Z</dcterms:modified>
</cp:coreProperties>
</file>